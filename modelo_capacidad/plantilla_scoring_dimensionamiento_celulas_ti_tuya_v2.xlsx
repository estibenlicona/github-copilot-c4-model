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User\Descargas\"/>
    </mc:Choice>
  </mc:AlternateContent>
  <xr:revisionPtr revIDLastSave="0" documentId="13_ncr:1_{368B463A-158C-46BB-8DB5-1AB6096DDFA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icio" sheetId="1" r:id="rId1"/>
    <sheet name="Formulario" sheetId="2" r:id="rId2"/>
    <sheet name="Resultados" sheetId="3" r:id="rId3"/>
    <sheet name="Reglas" sheetId="4" r:id="rId4"/>
    <sheet name="Calibracion" sheetId="5" r:id="rId5"/>
    <sheet name="Diccionario_SFI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5" l="1"/>
  <c r="K23" i="5" s="1"/>
  <c r="J22" i="5"/>
  <c r="K22" i="5" s="1"/>
  <c r="J21" i="5"/>
  <c r="K21" i="5" s="1"/>
  <c r="J20" i="5"/>
  <c r="K20" i="5" s="1"/>
  <c r="J19" i="5"/>
  <c r="K19" i="5" s="1"/>
  <c r="J18" i="5"/>
  <c r="K18" i="5" s="1"/>
  <c r="J17" i="5"/>
  <c r="K17" i="5" s="1"/>
  <c r="K16" i="5"/>
  <c r="J16" i="5"/>
  <c r="J15" i="5"/>
  <c r="K15" i="5" s="1"/>
  <c r="K14" i="5"/>
  <c r="J14" i="5"/>
  <c r="J13" i="5"/>
  <c r="K13" i="5" s="1"/>
  <c r="J12" i="5"/>
  <c r="K12" i="5" s="1"/>
  <c r="J11" i="5"/>
  <c r="K11" i="5" s="1"/>
  <c r="K10" i="5"/>
  <c r="J10" i="5"/>
  <c r="J9" i="5"/>
  <c r="K9" i="5" s="1"/>
  <c r="K8" i="5"/>
  <c r="J8" i="5"/>
  <c r="J7" i="5"/>
  <c r="K7" i="5" s="1"/>
  <c r="J6" i="5"/>
  <c r="K6" i="5" s="1"/>
  <c r="J5" i="5"/>
  <c r="K5" i="5" s="1"/>
  <c r="K4" i="5"/>
  <c r="J4" i="5"/>
  <c r="V17" i="4"/>
  <c r="U17" i="4"/>
  <c r="T17" i="4"/>
  <c r="S17" i="4"/>
  <c r="R17" i="4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E45" i="3" s="1"/>
  <c r="G33" i="3"/>
  <c r="E33" i="3"/>
  <c r="B6" i="3"/>
  <c r="B5" i="3"/>
  <c r="B4" i="3"/>
  <c r="J41" i="2"/>
  <c r="H41" i="2"/>
  <c r="G41" i="2"/>
  <c r="F41" i="2"/>
  <c r="J40" i="2"/>
  <c r="H40" i="2"/>
  <c r="F40" i="2"/>
  <c r="G40" i="2" s="1"/>
  <c r="J39" i="2"/>
  <c r="H39" i="2"/>
  <c r="F39" i="2"/>
  <c r="G39" i="2" s="1"/>
  <c r="B28" i="3" s="1"/>
  <c r="J38" i="2"/>
  <c r="H38" i="2"/>
  <c r="C28" i="3" s="1"/>
  <c r="G38" i="2"/>
  <c r="F38" i="2"/>
  <c r="J37" i="2"/>
  <c r="H37" i="2"/>
  <c r="F37" i="2"/>
  <c r="G37" i="2" s="1"/>
  <c r="J36" i="2"/>
  <c r="H36" i="2"/>
  <c r="F36" i="2"/>
  <c r="G36" i="2" s="1"/>
  <c r="J35" i="2"/>
  <c r="H35" i="2"/>
  <c r="G35" i="2"/>
  <c r="F35" i="2"/>
  <c r="J34" i="2"/>
  <c r="H34" i="2"/>
  <c r="C27" i="3" s="1"/>
  <c r="F34" i="2"/>
  <c r="G34" i="2" s="1"/>
  <c r="J33" i="2"/>
  <c r="H33" i="2"/>
  <c r="F33" i="2"/>
  <c r="G33" i="2" s="1"/>
  <c r="J32" i="2"/>
  <c r="H32" i="2"/>
  <c r="G32" i="2"/>
  <c r="F32" i="2"/>
  <c r="J31" i="2"/>
  <c r="H31" i="2"/>
  <c r="F31" i="2"/>
  <c r="G31" i="2" s="1"/>
  <c r="J30" i="2"/>
  <c r="H30" i="2"/>
  <c r="F30" i="2"/>
  <c r="G30" i="2" s="1"/>
  <c r="B26" i="3" s="1"/>
  <c r="J29" i="2"/>
  <c r="H29" i="2"/>
  <c r="C26" i="3" s="1"/>
  <c r="G29" i="2"/>
  <c r="F29" i="2"/>
  <c r="J28" i="2"/>
  <c r="H28" i="2"/>
  <c r="F28" i="2"/>
  <c r="G28" i="2" s="1"/>
  <c r="J27" i="2"/>
  <c r="H27" i="2"/>
  <c r="F27" i="2"/>
  <c r="G27" i="2" s="1"/>
  <c r="J26" i="2"/>
  <c r="H26" i="2"/>
  <c r="G26" i="2"/>
  <c r="F26" i="2"/>
  <c r="J25" i="2"/>
  <c r="H25" i="2"/>
  <c r="F25" i="2"/>
  <c r="G25" i="2" s="1"/>
  <c r="J24" i="2"/>
  <c r="H24" i="2"/>
  <c r="C25" i="3" s="1"/>
  <c r="F24" i="2"/>
  <c r="G24" i="2" s="1"/>
  <c r="B25" i="3" s="1"/>
  <c r="D25" i="3" s="1"/>
  <c r="E25" i="3" s="1"/>
  <c r="J23" i="2"/>
  <c r="H23" i="2"/>
  <c r="G23" i="2"/>
  <c r="F23" i="2"/>
  <c r="J22" i="2"/>
  <c r="H22" i="2"/>
  <c r="F22" i="2"/>
  <c r="G22" i="2" s="1"/>
  <c r="J21" i="2"/>
  <c r="H21" i="2"/>
  <c r="F21" i="2"/>
  <c r="G21" i="2" s="1"/>
  <c r="B24" i="3" s="1"/>
  <c r="J20" i="2"/>
  <c r="H20" i="2"/>
  <c r="C24" i="3" s="1"/>
  <c r="G20" i="2"/>
  <c r="F20" i="2"/>
  <c r="H19" i="2"/>
  <c r="F19" i="2"/>
  <c r="G19" i="2" s="1"/>
  <c r="H18" i="2"/>
  <c r="F18" i="2"/>
  <c r="G18" i="2" s="1"/>
  <c r="H17" i="2"/>
  <c r="F17" i="2"/>
  <c r="J17" i="2" s="1"/>
  <c r="H16" i="2"/>
  <c r="C23" i="3" s="1"/>
  <c r="F16" i="2"/>
  <c r="G16" i="2" s="1"/>
  <c r="H15" i="2"/>
  <c r="F15" i="2"/>
  <c r="G15" i="2" s="1"/>
  <c r="H14" i="2"/>
  <c r="F14" i="2"/>
  <c r="G14" i="2" s="1"/>
  <c r="H13" i="2"/>
  <c r="F13" i="2"/>
  <c r="G13" i="2" s="1"/>
  <c r="H12" i="2"/>
  <c r="B46" i="2" s="1"/>
  <c r="F12" i="2"/>
  <c r="G12" i="2" s="1"/>
  <c r="J19" i="2" l="1"/>
  <c r="J18" i="2"/>
  <c r="G17" i="2"/>
  <c r="J16" i="2"/>
  <c r="J15" i="2"/>
  <c r="J14" i="2"/>
  <c r="J13" i="2"/>
  <c r="J12" i="2"/>
  <c r="D26" i="3"/>
  <c r="E26" i="3" s="1"/>
  <c r="B22" i="3"/>
  <c r="B45" i="2"/>
  <c r="B47" i="2" s="1"/>
  <c r="B48" i="2" s="1"/>
  <c r="B7" i="3"/>
  <c r="B23" i="3"/>
  <c r="D23" i="3" s="1"/>
  <c r="E23" i="3" s="1"/>
  <c r="B27" i="3"/>
  <c r="D27" i="3" s="1"/>
  <c r="E27" i="3" s="1"/>
  <c r="D28" i="3"/>
  <c r="E28" i="3" s="1"/>
  <c r="D24" i="3"/>
  <c r="E24" i="3" s="1"/>
  <c r="B8" i="3"/>
  <c r="C22" i="3"/>
  <c r="B9" i="3" l="1"/>
  <c r="B10" i="3" s="1"/>
  <c r="D22" i="3"/>
  <c r="E22" i="3" s="1"/>
  <c r="B42" i="3" l="1"/>
  <c r="B40" i="3"/>
  <c r="B38" i="3"/>
  <c r="B36" i="3"/>
  <c r="B34" i="3"/>
  <c r="B16" i="3"/>
  <c r="B12" i="3"/>
  <c r="B14" i="3" s="1"/>
  <c r="B11" i="3"/>
  <c r="C43" i="3"/>
  <c r="D43" i="3" s="1"/>
  <c r="F43" i="3" s="1"/>
  <c r="C41" i="3"/>
  <c r="D41" i="3" s="1"/>
  <c r="F41" i="3" s="1"/>
  <c r="C39" i="3"/>
  <c r="D39" i="3" s="1"/>
  <c r="F39" i="3" s="1"/>
  <c r="C37" i="3"/>
  <c r="C35" i="3"/>
  <c r="C33" i="3"/>
  <c r="B43" i="3"/>
  <c r="B41" i="3"/>
  <c r="B39" i="3"/>
  <c r="B37" i="3"/>
  <c r="B35" i="3"/>
  <c r="B33" i="3"/>
  <c r="C42" i="3"/>
  <c r="D42" i="3" s="1"/>
  <c r="F42" i="3" s="1"/>
  <c r="C40" i="3"/>
  <c r="D40" i="3" s="1"/>
  <c r="F40" i="3" s="1"/>
  <c r="C38" i="3"/>
  <c r="D38" i="3" s="1"/>
  <c r="F38" i="3" s="1"/>
  <c r="C36" i="3"/>
  <c r="D36" i="3" s="1"/>
  <c r="F36" i="3" s="1"/>
  <c r="C34" i="3"/>
  <c r="B17" i="3"/>
  <c r="D37" i="3" l="1"/>
  <c r="F37" i="3" s="1"/>
  <c r="D34" i="3"/>
  <c r="F34" i="3" s="1"/>
  <c r="D35" i="3"/>
  <c r="F35" i="3" s="1"/>
  <c r="B13" i="3"/>
  <c r="B15" i="3"/>
  <c r="C45" i="3"/>
  <c r="D33" i="3"/>
  <c r="F33" i="3" l="1"/>
  <c r="F45" i="3" s="1"/>
  <c r="D45" i="3"/>
</calcChain>
</file>

<file path=xl/sharedStrings.xml><?xml version="1.0" encoding="utf-8"?>
<sst xmlns="http://schemas.openxmlformats.org/spreadsheetml/2006/main" count="382" uniqueCount="311">
  <si>
    <t>Plantilla de scoring temprano para dimensionamiento de células de TI</t>
  </si>
  <si>
    <t>Objetivo</t>
  </si>
  <si>
    <t>Flujo sugerido de uso</t>
  </si>
  <si>
    <t>Paso</t>
  </si>
  <si>
    <t>Actividad</t>
  </si>
  <si>
    <t>Resultado esperado</t>
  </si>
  <si>
    <t>1</t>
  </si>
  <si>
    <t>Completar metadatos de la iniciativa en la hoja Formulario.</t>
  </si>
  <si>
    <t>Contexto mínimo de negocio y plazo.</t>
  </si>
  <si>
    <t>2</t>
  </si>
  <si>
    <t>Responder cada pregunta con escala 0 a 4 y agregar evidencia breve cuando aplique.</t>
  </si>
  <si>
    <t>Puntaje ponderado por complejidad.</t>
  </si>
  <si>
    <t>3</t>
  </si>
  <si>
    <t>Revisar la hoja Resultados.</t>
  </si>
  <si>
    <t>Talla, PM, FTE y mix sugerido de capacidades.</t>
  </si>
  <si>
    <t>4</t>
  </si>
  <si>
    <t>Ajustar reglas en la hoja Reglas si la organización aprende nuevos patrones.</t>
  </si>
  <si>
    <t>Modelo calibrable.</t>
  </si>
  <si>
    <t>5</t>
  </si>
  <si>
    <t>Registrar estimado vs real en Calibracion al cerrar la iniciativa.</t>
  </si>
  <si>
    <t>Histórico para mejorar reglas.</t>
  </si>
  <si>
    <t>Nota</t>
  </si>
  <si>
    <t>La plantilla no reemplaza discovery, arquitectura o estimación detallada.</t>
  </si>
  <si>
    <t>Sirve para staffing temprano y planeación de capacidad.</t>
  </si>
  <si>
    <t>Interpretación de la escala de respuesta</t>
  </si>
  <si>
    <t>Respuesta</t>
  </si>
  <si>
    <t>Significado</t>
  </si>
  <si>
    <t>Uso sugerido</t>
  </si>
  <si>
    <t>0</t>
  </si>
  <si>
    <t>No aplica o sin impacto relevante.</t>
  </si>
  <si>
    <t>La iniciativa no exige esfuerzo adicional por esta pregunta.</t>
  </si>
  <si>
    <t>Bajo.</t>
  </si>
  <si>
    <t>Impacto acotado, conocido y manejable dentro de la célula.</t>
  </si>
  <si>
    <t>Medio.</t>
  </si>
  <si>
    <t>Requiere coordinación o análisis moderado.</t>
  </si>
  <si>
    <t>Alto.</t>
  </si>
  <si>
    <t>Requiere diseño, validación especializada o gestión de dependencias.</t>
  </si>
  <si>
    <t>Crítico / muy alto.</t>
  </si>
  <si>
    <t>Alta incertidumbre, impacto financiero/regulatorio, riesgo operacional o transversalidad.</t>
  </si>
  <si>
    <t>Formulario de scoring temprano de iniciativa</t>
  </si>
  <si>
    <t>Campo</t>
  </si>
  <si>
    <t>Valor</t>
  </si>
  <si>
    <t>Notas</t>
  </si>
  <si>
    <t>Nombre de la iniciativa</t>
  </si>
  <si>
    <t>Nombre corto y reconocible.</t>
  </si>
  <si>
    <t>Área solicitante</t>
  </si>
  <si>
    <t>Negocio, TI, operación, seguridad, etc.</t>
  </si>
  <si>
    <t>Tipo de iniciativa</t>
  </si>
  <si>
    <t>Seleccionar de la lista.</t>
  </si>
  <si>
    <t>Fecha de evaluación</t>
  </si>
  <si>
    <t>Fecha de diligenciamiento.</t>
  </si>
  <si>
    <t>Plazo objetivo (meses)</t>
  </si>
  <si>
    <t>Usado para convertir PM a FTE.</t>
  </si>
  <si>
    <t>Responsable del assessment</t>
  </si>
  <si>
    <t>Persona que diligencia o facilita.</t>
  </si>
  <si>
    <t>ID</t>
  </si>
  <si>
    <t>Dimensión</t>
  </si>
  <si>
    <t>Pregunta</t>
  </si>
  <si>
    <t>Peso</t>
  </si>
  <si>
    <t>Puntaje base</t>
  </si>
  <si>
    <t>Puntaje ponderado</t>
  </si>
  <si>
    <t>Máximo</t>
  </si>
  <si>
    <t>Evidencia / notas</t>
  </si>
  <si>
    <t>Observación</t>
  </si>
  <si>
    <t>N1</t>
  </si>
  <si>
    <t>Negocio y cliente</t>
  </si>
  <si>
    <t>¿Impacta directamente clientes, comercios aliados o canales digitales?</t>
  </si>
  <si>
    <t>N2</t>
  </si>
  <si>
    <t>¿Soporta una capacidad crítica del negocio financiero (originación, pagos, tarjetas, crédito, cartera o recaudo)?</t>
  </si>
  <si>
    <t>N3</t>
  </si>
  <si>
    <t>¿Tiene fecha comprometida por negocio, campaña, aliado, regulador o auditoría?</t>
  </si>
  <si>
    <t>N4</t>
  </si>
  <si>
    <t>¿Requiere coordinación de varias áreas de negocio u operación?</t>
  </si>
  <si>
    <t>F1</t>
  </si>
  <si>
    <t>Alcance funcional</t>
  </si>
  <si>
    <t>¿Crea una capacidad nueva y no solo modifica una existente?</t>
  </si>
  <si>
    <t>F2</t>
  </si>
  <si>
    <t>¿Impacta varios canales o frontales (App, web, portal, contact center o backoffice)?</t>
  </si>
  <si>
    <t>F3</t>
  </si>
  <si>
    <t>¿Incluye reglas de negocio complejas, parametrización o flujos de aprobación?</t>
  </si>
  <si>
    <t>F4</t>
  </si>
  <si>
    <t>¿Requiere trazabilidad, reversos, conciliación o auditoría funcional?</t>
  </si>
  <si>
    <t>I1</t>
  </si>
  <si>
    <t>Integraciones</t>
  </si>
  <si>
    <t>¿Cuántos sistemas internos deben integrarse o modificarse?</t>
  </si>
  <si>
    <t>I2</t>
  </si>
  <si>
    <t>¿Involucra terceros externos (aliados retail, bureaus, pasarelas, proveedores, core o antifraude)?</t>
  </si>
  <si>
    <t>I3</t>
  </si>
  <si>
    <t>¿Requiere APIs nuevas, cambios en APIM, eventos o mensajería?</t>
  </si>
  <si>
    <t>I4</t>
  </si>
  <si>
    <t>¿Depende de disponibilidad o cambios de equipos externos a la célula?</t>
  </si>
  <si>
    <t>S1</t>
  </si>
  <si>
    <t>Datos, seguridad y cumplimiento</t>
  </si>
  <si>
    <t>¿Procesa datos personales, financieros, transaccionales o sensibles?</t>
  </si>
  <si>
    <t>S2</t>
  </si>
  <si>
    <t>¿Está expuesta a internet o a canales de cliente/aliado?</t>
  </si>
  <si>
    <t>S3</t>
  </si>
  <si>
    <t>¿Requiere controles de identidad, autorización, roles, MFA o segregación?</t>
  </si>
  <si>
    <t>S4</t>
  </si>
  <si>
    <t>¿Puede generar impacto de fraude, pérdida económica, reputacional o sanción?</t>
  </si>
  <si>
    <t>S5</t>
  </si>
  <si>
    <t>¿Requiere evidencia para auditoría, cumplimiento, monitoreo o trazabilidad regulatoria?</t>
  </si>
  <si>
    <t>T1</t>
  </si>
  <si>
    <t>Tecnología y arquitectura</t>
  </si>
  <si>
    <t>¿Introduce tecnología, patrón o componente nuevo para TI?</t>
  </si>
  <si>
    <t>T2</t>
  </si>
  <si>
    <t>¿Modifica arquitectura transversal, APIs comunes, plataforma, datos maestros o capacidades compartidas?</t>
  </si>
  <si>
    <t>T3</t>
  </si>
  <si>
    <t>¿Exige alta disponibilidad, resiliencia, recuperación, performance o escalabilidad relevante?</t>
  </si>
  <si>
    <t>T4</t>
  </si>
  <si>
    <t>¿Requiere diseño de datos complejo, migración, sincronización o consistencia entre sistemas?</t>
  </si>
  <si>
    <t>T5</t>
  </si>
  <si>
    <t>¿Requiere automatización CI/CD, infraestructura cloud, Kubernetes, APIM, colas o IaC?</t>
  </si>
  <si>
    <t>O1</t>
  </si>
  <si>
    <t>Operación y soporte</t>
  </si>
  <si>
    <t>¿Impacta operación 7x24, mesa de servicio, backoffice o procesos de soporte?</t>
  </si>
  <si>
    <t>O2</t>
  </si>
  <si>
    <t>¿Requiere observabilidad, alertas, métricas, SLI/SLO o trazabilidad técnica nueva?</t>
  </si>
  <si>
    <t>O3</t>
  </si>
  <si>
    <t>¿Un error en producción afecta continuidad, recaudo, pagos, crédito o atención al cliente?</t>
  </si>
  <si>
    <t>O4</t>
  </si>
  <si>
    <t>¿Requiere despliegue gradual, rollback, feature flags o migración controlada?</t>
  </si>
  <si>
    <t>D1</t>
  </si>
  <si>
    <t>Incertidumbre y dependencias</t>
  </si>
  <si>
    <t>¿El requerimiento aún es ambiguo o requiere discovery funcional/técnico?</t>
  </si>
  <si>
    <t>D2</t>
  </si>
  <si>
    <t>¿Hay dependencias con proveedores, áreas internas o decisiones no confirmadas?</t>
  </si>
  <si>
    <t>D3</t>
  </si>
  <si>
    <t>¿Cambia procesos, roles operativos o requiere gestión del cambio?</t>
  </si>
  <si>
    <t>D4</t>
  </si>
  <si>
    <t>¿Hay restricciones fuertes de tiempo, capacidad o coexistencia con otros proyectos?</t>
  </si>
  <si>
    <t>Resumen automático del scoring</t>
  </si>
  <si>
    <t>Puntaje total</t>
  </si>
  <si>
    <t>Suma ponderada de respuestas.</t>
  </si>
  <si>
    <t>Puntaje máximo</t>
  </si>
  <si>
    <t>Máximo posible según pesos.</t>
  </si>
  <si>
    <t>Porcentaje complejidad</t>
  </si>
  <si>
    <t>Base para conversión a T-shirt.</t>
  </si>
  <si>
    <t>Talla sugerida</t>
  </si>
  <si>
    <t>Se recalibra en hoja Reglas.</t>
  </si>
  <si>
    <t>Resultado automático de dimensionamiento inicial</t>
  </si>
  <si>
    <t>KPIs de sizing temprano</t>
  </si>
  <si>
    <t>Iniciativa</t>
  </si>
  <si>
    <t>Tipo</t>
  </si>
  <si>
    <t>Complejidad %</t>
  </si>
  <si>
    <t>Talla T-shirt</t>
  </si>
  <si>
    <t>PM mínimo</t>
  </si>
  <si>
    <t>PM máximo</t>
  </si>
  <si>
    <t>FTE mínimo</t>
  </si>
  <si>
    <t>FTE máximo</t>
  </si>
  <si>
    <t>FTE medio recomendado</t>
  </si>
  <si>
    <t>Lectura ejecutiva</t>
  </si>
  <si>
    <t>Acción recomendada</t>
  </si>
  <si>
    <t>Complejidad por dimensión</t>
  </si>
  <si>
    <t>Puntaje</t>
  </si>
  <si>
    <t>%</t>
  </si>
  <si>
    <t>Nivel</t>
  </si>
  <si>
    <t>Mix sugerido de capacidades por T-shirt</t>
  </si>
  <si>
    <t>Capability</t>
  </si>
  <si>
    <t>Nivel SFIA sugerido</t>
  </si>
  <si>
    <t>% mix</t>
  </si>
  <si>
    <t>FTE base</t>
  </si>
  <si>
    <t>Ajuste manual</t>
  </si>
  <si>
    <t>FTE final</t>
  </si>
  <si>
    <t>Product Owner / Negocio</t>
  </si>
  <si>
    <t>Analista negocio / funcional</t>
  </si>
  <si>
    <t>Arquitectura de solución</t>
  </si>
  <si>
    <t>Desarrollo Backend / API</t>
  </si>
  <si>
    <t>Desarrollo Frontend / Mobile</t>
  </si>
  <si>
    <t>QA / Automatización</t>
  </si>
  <si>
    <t>Seguridad / AppSec</t>
  </si>
  <si>
    <t>DevOps / Plataforma</t>
  </si>
  <si>
    <t>Datos / Integración</t>
  </si>
  <si>
    <t>UX/UI / Experiencia</t>
  </si>
  <si>
    <t>Operación / SRE</t>
  </si>
  <si>
    <t>Total</t>
  </si>
  <si>
    <t>Reglas editables del modelo</t>
  </si>
  <si>
    <t>Respuesta formulario</t>
  </si>
  <si>
    <t>Conversión de puntaje a T-shirt y esfuerzo inicial</t>
  </si>
  <si>
    <t>Mix sugerido de capacidades por talla</t>
  </si>
  <si>
    <t>0 - No aplica / sin impacto</t>
  </si>
  <si>
    <t>Min %</t>
  </si>
  <si>
    <t>Max %</t>
  </si>
  <si>
    <t>Talla</t>
  </si>
  <si>
    <t>PM min</t>
  </si>
  <si>
    <t>PM max</t>
  </si>
  <si>
    <t>Guía de lectura</t>
  </si>
  <si>
    <t>Descripción</t>
  </si>
  <si>
    <t>SFIA XS</t>
  </si>
  <si>
    <t>SFIA S</t>
  </si>
  <si>
    <t>SFIA M</t>
  </si>
  <si>
    <t>SFIA L</t>
  </si>
  <si>
    <t>SFIA XL</t>
  </si>
  <si>
    <t>Mix XS</t>
  </si>
  <si>
    <t>Mix S</t>
  </si>
  <si>
    <t>Mix M</t>
  </si>
  <si>
    <t>Mix L</t>
  </si>
  <si>
    <t>Mix XL</t>
  </si>
  <si>
    <t>1 - Bajo</t>
  </si>
  <si>
    <t>XS</t>
  </si>
  <si>
    <t>Cambio menor o ajuste acotado.</t>
  </si>
  <si>
    <t>Resolver con capacidad existente o célula ligera.</t>
  </si>
  <si>
    <t>Prioridad, valor de negocio, decisiones funcionales y relación con stakeholders.</t>
  </si>
  <si>
    <t>Indispensable para foco y priorización.</t>
  </si>
  <si>
    <t>2 - Medio</t>
  </si>
  <si>
    <t>S</t>
  </si>
  <si>
    <t>Iniciativa pequeña con alcance conocido.</t>
  </si>
  <si>
    <t>Célula reducida y apoyo puntual de arquitectura/seguridad.</t>
  </si>
  <si>
    <t>Levantamiento, reglas, trazabilidad, procesos, criterios de aceptación.</t>
  </si>
  <si>
    <t>Clave cuando no hay historias detalladas.</t>
  </si>
  <si>
    <t>3 - Alto</t>
  </si>
  <si>
    <t>M</t>
  </si>
  <si>
    <t>Iniciativa media con varias piezas o integraciones.</t>
  </si>
  <si>
    <t>Célula base y discovery corto para validar supuestos.</t>
  </si>
  <si>
    <t>Diseño, trade-offs, estándares, integración, NFRs y decisiones técnicas.</t>
  </si>
  <si>
    <t>Puede ser compartida según criticidad.</t>
  </si>
  <si>
    <t>4 - Crítico / muy alto</t>
  </si>
  <si>
    <t>L</t>
  </si>
  <si>
    <t>Iniciativa grande, transversal o con riesgo relevante.</t>
  </si>
  <si>
    <t>Célula completa, arquitectura temprana y validación AppSec.</t>
  </si>
  <si>
    <t>Servicios, APIs, lógica de negocio, integración, seguridad técnica.</t>
  </si>
  <si>
    <t>Alta relevancia en iniciativas financieras y transversales.</t>
  </si>
  <si>
    <t>XL</t>
  </si>
  <si>
    <t>Programa o iniciativa estratégica de alta incertidumbre.</t>
  </si>
  <si>
    <t>Evaluar dividir en frentes/células y hacer discovery formal.</t>
  </si>
  <si>
    <t>Canales digitales, experiencia, integración con APIs, validaciones de UI.</t>
  </si>
  <si>
    <t>Aplicar si impacta App, web o portales.</t>
  </si>
  <si>
    <t>Estrategia de pruebas, regresión, automatización, datos de prueba, pruebas E2E.</t>
  </si>
  <si>
    <t>Aumentar en flujos críticos, cartera, pagos o crédito.</t>
  </si>
  <si>
    <t>API / Backend</t>
  </si>
  <si>
    <t>Servicios, APIs, procesos backend o capacidades transversales.</t>
  </si>
  <si>
    <t>Threat modeling, IAM, OWASP, protección de datos, fraude, revisiones y evidencias.</t>
  </si>
  <si>
    <t>Aumentar si hay datos sensibles, internet o riesgo regulatorio.</t>
  </si>
  <si>
    <t>Canal digital</t>
  </si>
  <si>
    <t>App, web, portal, frontend, experiencia de cliente o aliado.</t>
  </si>
  <si>
    <t>CI/CD, cloud, Kubernetes, APIM, observabilidad, IaC y despliegues.</t>
  </si>
  <si>
    <t>Puede ser compartida si existe plataforma madura.</t>
  </si>
  <si>
    <t>Datos / Analítica</t>
  </si>
  <si>
    <t>Integración, modelos de datos, reportes, BI o analítica.</t>
  </si>
  <si>
    <t>Modelado, persistencia, migración, mensajería, consistencia y reportabilidad.</t>
  </si>
  <si>
    <t>Aplica en analítica, reportes, integraciones o migración.</t>
  </si>
  <si>
    <t>Infraestructura / Plataforma</t>
  </si>
  <si>
    <t>Cloud, DevOps, Kubernetes, APIM, automatización o plataforma.</t>
  </si>
  <si>
    <t>Diseño de interacción, pruebas con usuario, journeys y diseño omnicanal.</t>
  </si>
  <si>
    <t>Aplicar en canales de cliente/aliado.</t>
  </si>
  <si>
    <t>Seguridad / Cumplimiento</t>
  </si>
  <si>
    <t>Controles, auditoría, IAM, fraude, hardening o cumplimiento.</t>
  </si>
  <si>
    <t>Soporte, monitoreo, SLO, continuidad, runbooks, incidentes y operación.</t>
  </si>
  <si>
    <t>Relevante para servicios críticos o 7x24.</t>
  </si>
  <si>
    <t>Operación / Backoffice</t>
  </si>
  <si>
    <t>Procesos internos, soporte, contact center, operación, cartera o recaudo.</t>
  </si>
  <si>
    <t>Producto financiero</t>
  </si>
  <si>
    <t>Nueva capacidad de crédito, tarjeta, pagos, originación, cartera o experiencia financiera.</t>
  </si>
  <si>
    <t>Debe sumar 100% por talla</t>
  </si>
  <si>
    <t>Registro para calibrar el modelo con datos reales</t>
  </si>
  <si>
    <t>Fecha cierre</t>
  </si>
  <si>
    <t>Talla estimada</t>
  </si>
  <si>
    <t>FTE estimado medio</t>
  </si>
  <si>
    <t>FTE real medio</t>
  </si>
  <si>
    <t>Duración real meses</t>
  </si>
  <si>
    <t>Desvío FTE</t>
  </si>
  <si>
    <t>¿Requiere ajustar reglas?</t>
  </si>
  <si>
    <t>Aprendizaje</t>
  </si>
  <si>
    <t>Link/evidencia</t>
  </si>
  <si>
    <t>Diccionario operativo de niveles SFIA para usar en el modelo</t>
  </si>
  <si>
    <t>Frase guía</t>
  </si>
  <si>
    <t>Autonomía</t>
  </si>
  <si>
    <t>Influencia</t>
  </si>
  <si>
    <t>Complejidad</t>
  </si>
  <si>
    <t>Uso en staffing temprano</t>
  </si>
  <si>
    <t>No requerido dedicado</t>
  </si>
  <si>
    <t>No se asigna como capacidad dedicada.</t>
  </si>
  <si>
    <t>Apoyo bajo demanda.</t>
  </si>
  <si>
    <t>No aplica.</t>
  </si>
  <si>
    <t>Usar solo si la iniciativa dispara necesidad puntual.</t>
  </si>
  <si>
    <t>Seguir</t>
  </si>
  <si>
    <t>Trabaja bajo instrucciones.</t>
  </si>
  <si>
    <t>Impacto individual.</t>
  </si>
  <si>
    <t>Tareas simples.</t>
  </si>
  <si>
    <t>No recomendado para ownership de iniciativa.</t>
  </si>
  <si>
    <t>Asistir</t>
  </si>
  <si>
    <t>Requiere guía frecuente.</t>
  </si>
  <si>
    <t>Impacto en tareas.</t>
  </si>
  <si>
    <t>Problemas acotados.</t>
  </si>
  <si>
    <t>Útil como apoyo con supervisión.</t>
  </si>
  <si>
    <t>Aplicar</t>
  </si>
  <si>
    <t>Trabaja con autonomía en tareas/entregables conocidos.</t>
  </si>
  <si>
    <t>Impacto en la célula.</t>
  </si>
  <si>
    <t>Complejidad moderada.</t>
  </si>
  <si>
    <t>Equivalente aproximado a ingeniero II / semi senior.</t>
  </si>
  <si>
    <t>Facilitar</t>
  </si>
  <si>
    <t>Toma decisiones técnicas locales.</t>
  </si>
  <si>
    <t>Impacto en equipo o componente.</t>
  </si>
  <si>
    <t>Problemas complejos y conocidos.</t>
  </si>
  <si>
    <t>Equivalente aproximado a senior / especialista.</t>
  </si>
  <si>
    <t>Asegurar y asesorar</t>
  </si>
  <si>
    <t>Define enfoques y asesora.</t>
  </si>
  <si>
    <t>Impacto transversal o multi-equipo.</t>
  </si>
  <si>
    <t>Alta complejidad e incertidumbre.</t>
  </si>
  <si>
    <t>Arquitectura, seguridad o liderazgo técnico relevante.</t>
  </si>
  <si>
    <t>Iniciar e influir</t>
  </si>
  <si>
    <t>Inicia cambios y define prácticas.</t>
  </si>
  <si>
    <t>Impacto organizacional.</t>
  </si>
  <si>
    <t>Problemas amplios y estratégicos.</t>
  </si>
  <si>
    <t>Principal / arquitecto empresarial / plataforma corporativa.</t>
  </si>
  <si>
    <t>Definir estrategia</t>
  </si>
  <si>
    <t>Define estrategia organizacional.</t>
  </si>
  <si>
    <t>Impacto ejecutivo.</t>
  </si>
  <si>
    <t>Ambigüedad estratégica.</t>
  </si>
  <si>
    <t>Dirección tecnológica o estrategia corporativa.</t>
  </si>
  <si>
    <t>Evaluar una iniciativa en etapa temprana, antes de arquitectura detallada o historias de usuario, para obtener una talla T-shirt, un rango de esfuerzo, FTE sugeridos y capacidades mínimas para conformar una célula.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</si>
</sst>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>
    <font>
      <sz val="11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2" fontId="4" fillId="4" borderId="0" xfId="0" applyNumberFormat="1" applyFont="1" applyFill="1" applyAlignment="1">
      <alignment horizontal="left" vertical="center" wrapText="1"/>
    </xf>
    <xf numFmtId="9" fontId="2" fillId="2" borderId="0" xfId="0" applyNumberFormat="1" applyFont="1" applyFill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s-CO"/>
              <a:t>Complejidad por dimensión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Puntaje</c:v>
          </c:tx>
          <c:invertIfNegative val="1"/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Resultados!$B$22:$B$28</c:f>
              <c:numCache>
                <c:formatCode>General</c:formatCode>
                <c:ptCount val="7"/>
                <c:pt idx="0">
                  <c:v>19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2-4763-94C9-53F95A144DE5}"/>
            </c:ext>
          </c:extLst>
        </c:ser>
        <c:ser>
          <c:idx val="1"/>
          <c:order val="1"/>
          <c:tx>
            <c:v>Máximo</c:v>
          </c:tx>
          <c:invertIfNegative val="1"/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Resultados!$C$22:$C$28</c:f>
              <c:numCache>
                <c:formatCode>General</c:formatCode>
                <c:ptCount val="7"/>
                <c:pt idx="0">
                  <c:v>32</c:v>
                </c:pt>
                <c:pt idx="1">
                  <c:v>40</c:v>
                </c:pt>
                <c:pt idx="2">
                  <c:v>40</c:v>
                </c:pt>
                <c:pt idx="3">
                  <c:v>52</c:v>
                </c:pt>
                <c:pt idx="4">
                  <c:v>52</c:v>
                </c:pt>
                <c:pt idx="5">
                  <c:v>36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32-4763-94C9-53F95A144DE5}"/>
            </c:ext>
          </c:extLst>
        </c:ser>
        <c:ser>
          <c:idx val="2"/>
          <c:order val="2"/>
          <c:tx>
            <c:v>%</c:v>
          </c:tx>
          <c:invertIfNegative val="1"/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Resultados!$D$22:$D$28</c:f>
              <c:numCache>
                <c:formatCode>0.0</c:formatCode>
                <c:ptCount val="7"/>
                <c:pt idx="0">
                  <c:v>59.375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32-4763-94C9-53F95A144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ularioScoring" displayName="FormularioScoring" ref="A11:J41">
  <tableColumns count="10">
    <tableColumn id="1" xr3:uid="{00000000-0010-0000-0000-000001000000}" name="ID" dataDxfId="9"/>
    <tableColumn id="2" xr3:uid="{00000000-0010-0000-0000-000002000000}" name="Dimensión" dataDxfId="8"/>
    <tableColumn id="3" xr3:uid="{00000000-0010-0000-0000-000003000000}" name="Pregunta" dataDxfId="7"/>
    <tableColumn id="4" xr3:uid="{00000000-0010-0000-0000-000004000000}" name="Respuesta" dataDxfId="6"/>
    <tableColumn id="5" xr3:uid="{00000000-0010-0000-0000-000005000000}" name="Peso" dataDxfId="5"/>
    <tableColumn id="6" xr3:uid="{00000000-0010-0000-0000-000006000000}" name="Puntaje base" dataDxfId="4"/>
    <tableColumn id="7" xr3:uid="{00000000-0010-0000-0000-000007000000}" name="Puntaje ponderado" dataDxfId="3"/>
    <tableColumn id="8" xr3:uid="{00000000-0010-0000-0000-000008000000}" name="Máximo" dataDxfId="2"/>
    <tableColumn id="9" xr3:uid="{00000000-0010-0000-0000-000009000000}" name="Evidencia / notas" dataDxfId="1"/>
    <tableColumn id="10" xr3:uid="{00000000-0010-0000-0000-00000A000000}" name="Observació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ltadosDimensiones" displayName="ResultadosDimensiones" ref="A21:E28">
  <tableColumns count="5">
    <tableColumn id="1" xr3:uid="{00000000-0010-0000-0100-000001000000}" name="Dimensión"/>
    <tableColumn id="2" xr3:uid="{00000000-0010-0000-0100-000002000000}" name="Puntaje"/>
    <tableColumn id="3" xr3:uid="{00000000-0010-0000-0100-000003000000}" name="Máximo"/>
    <tableColumn id="4" xr3:uid="{00000000-0010-0000-0100-000004000000}" name="%"/>
    <tableColumn id="5" xr3:uid="{00000000-0010-0000-0100-000005000000}" name="Ni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ltadosCapacidades" displayName="ResultadosCapacidades" ref="A32:G43">
  <tableColumns count="7">
    <tableColumn id="1" xr3:uid="{00000000-0010-0000-0200-000001000000}" name="Capability"/>
    <tableColumn id="2" xr3:uid="{00000000-0010-0000-0200-000002000000}" name="Nivel SFIA sugerido"/>
    <tableColumn id="3" xr3:uid="{00000000-0010-0000-0200-000003000000}" name="% mix"/>
    <tableColumn id="4" xr3:uid="{00000000-0010-0000-0200-000004000000}" name="FTE base"/>
    <tableColumn id="5" xr3:uid="{00000000-0010-0000-0200-000005000000}" name="Ajuste manual"/>
    <tableColumn id="6" xr3:uid="{00000000-0010-0000-0200-000006000000}" name="FTE final"/>
    <tableColumn id="7" xr3:uid="{00000000-0010-0000-0200-000007000000}" name="Not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glasTshirt" displayName="ReglasTshirt" ref="D4:J9">
  <tableColumns count="7">
    <tableColumn id="1" xr3:uid="{00000000-0010-0000-0300-000001000000}" name="Min %"/>
    <tableColumn id="2" xr3:uid="{00000000-0010-0000-0300-000002000000}" name="Max %"/>
    <tableColumn id="3" xr3:uid="{00000000-0010-0000-0300-000003000000}" name="Talla"/>
    <tableColumn id="4" xr3:uid="{00000000-0010-0000-0300-000004000000}" name="PM min"/>
    <tableColumn id="5" xr3:uid="{00000000-0010-0000-0300-000005000000}" name="PM max"/>
    <tableColumn id="6" xr3:uid="{00000000-0010-0000-0300-000006000000}" name="Guía de lectura"/>
    <tableColumn id="7" xr3:uid="{00000000-0010-0000-0300-000007000000}" name="Acción recomenda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glasCapabilities" displayName="ReglasCapabilities" ref="K4:W15">
  <tableColumns count="13">
    <tableColumn id="1" xr3:uid="{00000000-0010-0000-0400-000001000000}" name="Capability"/>
    <tableColumn id="2" xr3:uid="{00000000-0010-0000-0400-000002000000}" name="Descripción"/>
    <tableColumn id="3" xr3:uid="{00000000-0010-0000-0400-000003000000}" name="SFIA XS"/>
    <tableColumn id="4" xr3:uid="{00000000-0010-0000-0400-000004000000}" name="SFIA S"/>
    <tableColumn id="5" xr3:uid="{00000000-0010-0000-0400-000005000000}" name="SFIA M"/>
    <tableColumn id="6" xr3:uid="{00000000-0010-0000-0400-000006000000}" name="SFIA L"/>
    <tableColumn id="7" xr3:uid="{00000000-0010-0000-0400-000007000000}" name="SFIA XL"/>
    <tableColumn id="8" xr3:uid="{00000000-0010-0000-0400-000008000000}" name="Mix XS"/>
    <tableColumn id="9" xr3:uid="{00000000-0010-0000-0400-000009000000}" name="Mix S"/>
    <tableColumn id="10" xr3:uid="{00000000-0010-0000-0400-00000A000000}" name="Mix M"/>
    <tableColumn id="11" xr3:uid="{00000000-0010-0000-0400-00000B000000}" name="Mix L"/>
    <tableColumn id="12" xr3:uid="{00000000-0010-0000-0400-00000C000000}" name="Mix XL"/>
    <tableColumn id="13" xr3:uid="{00000000-0010-0000-0400-00000D000000}" name="Not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libracionModelo" displayName="CalibracionModelo" ref="A3:M23">
  <tableColumns count="13">
    <tableColumn id="1" xr3:uid="{00000000-0010-0000-0500-000001000000}" name="Fecha cierre"/>
    <tableColumn id="2" xr3:uid="{00000000-0010-0000-0500-000002000000}" name="Iniciativa"/>
    <tableColumn id="3" xr3:uid="{00000000-0010-0000-0500-000003000000}" name="Tipo"/>
    <tableColumn id="4" xr3:uid="{00000000-0010-0000-0500-000004000000}" name="Talla estimada"/>
    <tableColumn id="5" xr3:uid="{00000000-0010-0000-0500-000005000000}" name="PM min"/>
    <tableColumn id="6" xr3:uid="{00000000-0010-0000-0500-000006000000}" name="PM max"/>
    <tableColumn id="7" xr3:uid="{00000000-0010-0000-0500-000007000000}" name="FTE estimado medio"/>
    <tableColumn id="8" xr3:uid="{00000000-0010-0000-0500-000008000000}" name="FTE real medio"/>
    <tableColumn id="9" xr3:uid="{00000000-0010-0000-0500-000009000000}" name="Duración real meses"/>
    <tableColumn id="10" xr3:uid="{00000000-0010-0000-0500-00000A000000}" name="Desvío FTE"/>
    <tableColumn id="11" xr3:uid="{00000000-0010-0000-0500-00000B000000}" name="¿Requiere ajustar reglas?"/>
    <tableColumn id="12" xr3:uid="{00000000-0010-0000-0500-00000C000000}" name="Aprendizaje"/>
    <tableColumn id="13" xr3:uid="{00000000-0010-0000-0500-00000D000000}" name="Link/evide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iccionarioSFIA" displayName="DiccionarioSFIA" ref="A3:F11">
  <tableColumns count="6">
    <tableColumn id="1" xr3:uid="{00000000-0010-0000-0600-000001000000}" name="Nivel"/>
    <tableColumn id="2" xr3:uid="{00000000-0010-0000-0600-000002000000}" name="Frase guía"/>
    <tableColumn id="3" xr3:uid="{00000000-0010-0000-0600-000003000000}" name="Autonomía"/>
    <tableColumn id="4" xr3:uid="{00000000-0010-0000-0600-000004000000}" name="Influencia"/>
    <tableColumn id="5" xr3:uid="{00000000-0010-0000-0600-000005000000}" name="Complejidad"/>
    <tableColumn id="6" xr3:uid="{00000000-0010-0000-0600-000006000000}" name="Uso en staffing tempra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"/>
  <sheetViews>
    <sheetView workbookViewId="0">
      <selection activeCell="C10" sqref="C10"/>
    </sheetView>
  </sheetViews>
  <sheetFormatPr defaultRowHeight="14.25"/>
  <cols>
    <col min="1" max="1" width="14" customWidth="1"/>
    <col min="2" max="2" width="36" customWidth="1"/>
    <col min="3" max="3" width="45" customWidth="1"/>
    <col min="4" max="8" width="12" customWidth="1"/>
  </cols>
  <sheetData>
    <row r="1" spans="1:23" ht="27.95" customHeight="1">
      <c r="A1" s="14" t="s">
        <v>0</v>
      </c>
      <c r="B1" s="14"/>
      <c r="C1" s="14"/>
      <c r="D1" s="14"/>
      <c r="E1" s="14"/>
      <c r="F1" s="14"/>
      <c r="G1" s="14"/>
      <c r="H1" s="14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7"/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>
      <c r="A3" s="15" t="s">
        <v>1</v>
      </c>
      <c r="B3" s="16"/>
      <c r="C3" s="16"/>
      <c r="D3" s="16"/>
      <c r="E3" s="16"/>
      <c r="F3" s="16"/>
      <c r="G3" s="16"/>
      <c r="H3" s="1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>
      <c r="A4" s="16" t="s">
        <v>310</v>
      </c>
      <c r="B4" s="16"/>
      <c r="C4" s="16"/>
      <c r="D4" s="16"/>
      <c r="E4" s="16"/>
      <c r="F4" s="16"/>
      <c r="G4" s="16"/>
      <c r="H4" s="1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>
      <c r="A5" s="16"/>
      <c r="B5" s="16"/>
      <c r="C5" s="16"/>
      <c r="D5" s="16"/>
      <c r="E5" s="16"/>
      <c r="F5" s="16"/>
      <c r="G5" s="16"/>
      <c r="H5" s="16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>
      <c r="A6" s="16"/>
      <c r="B6" s="16"/>
      <c r="C6" s="16"/>
      <c r="D6" s="16"/>
      <c r="E6" s="16"/>
      <c r="F6" s="16"/>
      <c r="G6" s="16"/>
      <c r="H6" s="16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>
      <c r="A7" s="7"/>
      <c r="B7" s="7"/>
      <c r="C7" s="7"/>
      <c r="D7" s="7"/>
      <c r="E7" s="7"/>
      <c r="F7" s="7"/>
      <c r="G7" s="7"/>
      <c r="H7" s="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>
      <c r="A8" s="15" t="s">
        <v>2</v>
      </c>
      <c r="B8" s="16"/>
      <c r="C8" s="16"/>
      <c r="D8" s="16"/>
      <c r="E8" s="16"/>
      <c r="F8" s="16"/>
      <c r="G8" s="16"/>
      <c r="H8" s="16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5">
      <c r="A9" s="1" t="s">
        <v>3</v>
      </c>
      <c r="B9" s="1" t="s">
        <v>4</v>
      </c>
      <c r="C9" s="1" t="s">
        <v>5</v>
      </c>
      <c r="D9" s="7"/>
      <c r="E9" s="7"/>
      <c r="F9" s="7"/>
      <c r="G9" s="7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28.5">
      <c r="A10" s="7" t="s">
        <v>6</v>
      </c>
      <c r="B10" s="7" t="s">
        <v>7</v>
      </c>
      <c r="C10" s="7" t="s">
        <v>8</v>
      </c>
      <c r="D10" s="7"/>
      <c r="E10" s="7"/>
      <c r="F10" s="7"/>
      <c r="G10" s="7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42.75">
      <c r="A11" s="7" t="s">
        <v>9</v>
      </c>
      <c r="B11" s="7" t="s">
        <v>10</v>
      </c>
      <c r="C11" s="7" t="s">
        <v>11</v>
      </c>
      <c r="D11" s="7"/>
      <c r="E11" s="7"/>
      <c r="F11" s="7"/>
      <c r="G11" s="7"/>
      <c r="H11" s="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>
      <c r="A12" s="7" t="s">
        <v>12</v>
      </c>
      <c r="B12" s="7" t="s">
        <v>13</v>
      </c>
      <c r="C12" s="7" t="s">
        <v>14</v>
      </c>
      <c r="D12" s="7"/>
      <c r="E12" s="7"/>
      <c r="F12" s="7"/>
      <c r="G12" s="7"/>
      <c r="H12" s="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28.5">
      <c r="A13" s="7" t="s">
        <v>15</v>
      </c>
      <c r="B13" s="7" t="s">
        <v>16</v>
      </c>
      <c r="C13" s="7" t="s">
        <v>17</v>
      </c>
      <c r="D13" s="7"/>
      <c r="E13" s="7"/>
      <c r="F13" s="7"/>
      <c r="G13" s="7"/>
      <c r="H13" s="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28.5">
      <c r="A14" s="7" t="s">
        <v>18</v>
      </c>
      <c r="B14" s="7" t="s">
        <v>19</v>
      </c>
      <c r="C14" s="7" t="s">
        <v>20</v>
      </c>
      <c r="D14" s="7"/>
      <c r="E14" s="7"/>
      <c r="F14" s="7"/>
      <c r="G14" s="7"/>
      <c r="H14" s="7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ht="28.5">
      <c r="A15" s="7" t="s">
        <v>21</v>
      </c>
      <c r="B15" s="7" t="s">
        <v>22</v>
      </c>
      <c r="C15" s="7" t="s">
        <v>23</v>
      </c>
      <c r="D15" s="7"/>
      <c r="E15" s="7"/>
      <c r="F15" s="7"/>
      <c r="G15" s="7"/>
      <c r="H15" s="7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>
      <c r="A16" s="7"/>
      <c r="B16" s="7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>
      <c r="A17" s="15" t="s">
        <v>24</v>
      </c>
      <c r="B17" s="16"/>
      <c r="C17" s="16"/>
      <c r="D17" s="16"/>
      <c r="E17" s="16"/>
      <c r="F17" s="16"/>
      <c r="G17" s="16"/>
      <c r="H17" s="1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15">
      <c r="A18" s="1" t="s">
        <v>25</v>
      </c>
      <c r="B18" s="1" t="s">
        <v>26</v>
      </c>
      <c r="C18" s="1" t="s">
        <v>27</v>
      </c>
      <c r="D18" s="7"/>
      <c r="E18" s="7"/>
      <c r="F18" s="7"/>
      <c r="G18" s="7"/>
      <c r="H18" s="7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28.5">
      <c r="A19" s="7" t="s">
        <v>28</v>
      </c>
      <c r="B19" s="7" t="s">
        <v>29</v>
      </c>
      <c r="C19" s="7" t="s">
        <v>30</v>
      </c>
      <c r="D19" s="7"/>
      <c r="E19" s="7"/>
      <c r="F19" s="7"/>
      <c r="G19" s="7"/>
      <c r="H19" s="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ht="28.5">
      <c r="A20" s="7" t="s">
        <v>6</v>
      </c>
      <c r="B20" s="7" t="s">
        <v>31</v>
      </c>
      <c r="C20" s="7" t="s">
        <v>32</v>
      </c>
      <c r="D20" s="7"/>
      <c r="E20" s="7"/>
      <c r="F20" s="7"/>
      <c r="G20" s="7"/>
      <c r="H20" s="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>
      <c r="A21" s="7" t="s">
        <v>9</v>
      </c>
      <c r="B21" s="7" t="s">
        <v>33</v>
      </c>
      <c r="C21" s="7" t="s">
        <v>34</v>
      </c>
      <c r="D21" s="7"/>
      <c r="E21" s="7"/>
      <c r="F21" s="7"/>
      <c r="G21" s="7"/>
      <c r="H21" s="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28.5">
      <c r="A22" s="7" t="s">
        <v>12</v>
      </c>
      <c r="B22" s="7" t="s">
        <v>35</v>
      </c>
      <c r="C22" s="7" t="s">
        <v>36</v>
      </c>
      <c r="D22" s="7"/>
      <c r="E22" s="7"/>
      <c r="F22" s="7"/>
      <c r="G22" s="7"/>
      <c r="H22" s="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28.5">
      <c r="A23" s="7" t="s">
        <v>15</v>
      </c>
      <c r="B23" s="7" t="s">
        <v>37</v>
      </c>
      <c r="C23" s="7" t="s">
        <v>38</v>
      </c>
      <c r="D23" s="7"/>
      <c r="E23" s="7"/>
      <c r="F23" s="7"/>
      <c r="G23" s="7"/>
      <c r="H23" s="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7"/>
      <c r="B24" s="7"/>
      <c r="C24" s="7"/>
      <c r="D24" s="7"/>
      <c r="E24" s="7"/>
      <c r="F24" s="7"/>
      <c r="G24" s="7"/>
      <c r="H24" s="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7"/>
      <c r="B25" s="7"/>
      <c r="C25" s="7"/>
      <c r="D25" s="7"/>
      <c r="E25" s="7"/>
      <c r="F25" s="7"/>
      <c r="G25" s="7"/>
      <c r="H25" s="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5">
    <mergeCell ref="A1:H1"/>
    <mergeCell ref="A3:H3"/>
    <mergeCell ref="A4:H6"/>
    <mergeCell ref="A8:H8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0"/>
  <sheetViews>
    <sheetView tabSelected="1" workbookViewId="0">
      <selection activeCell="D20" sqref="D20"/>
    </sheetView>
  </sheetViews>
  <sheetFormatPr defaultRowHeight="14.25"/>
  <cols>
    <col min="1" max="1" width="19.75" bestFit="1" customWidth="1"/>
    <col min="2" max="2" width="28" customWidth="1"/>
    <col min="3" max="3" width="60" customWidth="1"/>
    <col min="4" max="4" width="26" customWidth="1"/>
    <col min="5" max="5" width="8" customWidth="1"/>
    <col min="6" max="6" width="12" customWidth="1"/>
    <col min="7" max="7" width="14" customWidth="1"/>
    <col min="8" max="8" width="10" customWidth="1"/>
    <col min="9" max="9" width="40" customWidth="1"/>
    <col min="10" max="10" width="27.625" customWidth="1"/>
  </cols>
  <sheetData>
    <row r="1" spans="1:23" ht="27.95" customHeight="1">
      <c r="A1" s="14" t="s">
        <v>39</v>
      </c>
      <c r="B1" s="14"/>
      <c r="C1" s="14"/>
      <c r="D1" s="14"/>
      <c r="E1" s="14"/>
      <c r="F1" s="14"/>
      <c r="G1" s="14"/>
      <c r="H1" s="14"/>
      <c r="I1" s="14"/>
      <c r="J1" s="14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5">
      <c r="A3" s="18" t="s">
        <v>40</v>
      </c>
      <c r="B3" s="18" t="s">
        <v>41</v>
      </c>
      <c r="C3" s="18" t="s">
        <v>42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>
      <c r="A4" s="19" t="s">
        <v>43</v>
      </c>
      <c r="B4" s="20"/>
      <c r="C4" s="21" t="s">
        <v>44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>
      <c r="A5" s="21" t="s">
        <v>45</v>
      </c>
      <c r="B5" s="20"/>
      <c r="C5" s="21" t="s">
        <v>46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>
      <c r="A6" s="21" t="s">
        <v>47</v>
      </c>
      <c r="B6" s="20"/>
      <c r="C6" s="21" t="s">
        <v>48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>
      <c r="A7" s="21" t="s">
        <v>49</v>
      </c>
      <c r="B7" s="20"/>
      <c r="C7" s="21" t="s">
        <v>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>
      <c r="A8" s="21" t="s">
        <v>51</v>
      </c>
      <c r="B8" s="20"/>
      <c r="C8" s="21" t="s">
        <v>52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28.5">
      <c r="A9" s="21" t="s">
        <v>53</v>
      </c>
      <c r="B9" s="20"/>
      <c r="C9" s="21" t="s">
        <v>54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30">
      <c r="A11" s="1" t="s">
        <v>55</v>
      </c>
      <c r="B11" s="1" t="s">
        <v>56</v>
      </c>
      <c r="C11" s="1" t="s">
        <v>57</v>
      </c>
      <c r="D11" s="1" t="s">
        <v>25</v>
      </c>
      <c r="E11" s="1" t="s">
        <v>58</v>
      </c>
      <c r="F11" s="1" t="s">
        <v>59</v>
      </c>
      <c r="G11" s="1" t="s">
        <v>60</v>
      </c>
      <c r="H11" s="1" t="s">
        <v>61</v>
      </c>
      <c r="I11" s="1" t="s">
        <v>62</v>
      </c>
      <c r="J11" s="1" t="s">
        <v>63</v>
      </c>
      <c r="K11" s="1" t="inlineStr">
        <is>
          <t xml:space="preserve">Tipo de pregunta</t>
        </is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28.5">
      <c r="A12" s="22" t="s">
        <v>64</v>
      </c>
      <c r="B12" s="22" t="s">
        <v>65</v>
      </c>
      <c r="C12" s="22" t="s">
        <v>66</v>
      </c>
      <c r="D12" s="22" t="s">
        <v>216</v>
      </c>
      <c r="E12" s="22">
        <v>2</v>
      </c>
      <c r="F12" s="22">
        <f t="shared" ref="F12:F41" si="0">IFERROR(VALUE(LEFT(D12,1)),0)</f>
        <v>4</v>
      </c>
      <c r="G12" s="22">
        <f t="shared" ref="G12:G41" si="1">F12*E12</f>
        <v>8</v>
      </c>
      <c r="H12" s="22">
        <f t="shared" ref="H12:H41" si="2">4*E12</f>
        <v>8</v>
      </c>
      <c r="I12" s="22"/>
      <c r="J12" s="22" t="str">
        <f t="shared" ref="J12:J41" si="3">IF(F12&gt;=3,"Requiere validación especial","")</f>
        <v>Requiere validación especial</v>
      </c>
      <c r="K12" s="8" t="inlineStr">
        <is>
          <t xml:space="preserve">Cualitativa</t>
        </is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28.5">
      <c r="A13" s="22" t="s">
        <v>67</v>
      </c>
      <c r="B13" s="22" t="s">
        <v>65</v>
      </c>
      <c r="C13" s="22" t="s">
        <v>68</v>
      </c>
      <c r="D13" s="22" t="s">
        <v>204</v>
      </c>
      <c r="E13" s="22">
        <v>3</v>
      </c>
      <c r="F13" s="22">
        <f t="shared" si="0"/>
        <v>2</v>
      </c>
      <c r="G13" s="22">
        <f t="shared" si="1"/>
        <v>6</v>
      </c>
      <c r="H13" s="22">
        <f t="shared" si="2"/>
        <v>12</v>
      </c>
      <c r="I13" s="22"/>
      <c r="J13" s="22" t="str">
        <f t="shared" si="3"/>
        <v/>
      </c>
      <c r="K13" s="8" t="inlineStr">
        <is>
          <t xml:space="preserve">Cualitativa</t>
        </is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28.5">
      <c r="A14" s="22" t="s">
        <v>69</v>
      </c>
      <c r="B14" s="22" t="s">
        <v>65</v>
      </c>
      <c r="C14" s="22" t="s">
        <v>70</v>
      </c>
      <c r="D14" s="22" t="s">
        <v>204</v>
      </c>
      <c r="E14" s="22">
        <v>2</v>
      </c>
      <c r="F14" s="22">
        <f t="shared" si="0"/>
        <v>2</v>
      </c>
      <c r="G14" s="22">
        <f t="shared" si="1"/>
        <v>4</v>
      </c>
      <c r="H14" s="22">
        <f t="shared" si="2"/>
        <v>8</v>
      </c>
      <c r="I14" s="22"/>
      <c r="J14" s="22" t="str">
        <f t="shared" si="3"/>
        <v/>
      </c>
      <c r="K14" s="8" t="inlineStr">
        <is>
          <t xml:space="preserve">Cualitativa</t>
        </is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>
      <c r="A15" s="22" t="s">
        <v>71</v>
      </c>
      <c r="B15" s="22" t="s">
        <v>65</v>
      </c>
      <c r="C15" s="22" t="inlineStr">
        <is>
          <t xml:space="preserve">¿Cuántas áreas de negocio u operación deben coordinarse?</t>
        </is>
      </c>
      <c r="D15" s="22" t="inlineStr">
        <is>
          <t xml:space="preserve">1 - 1 área</t>
        </is>
      </c>
      <c r="E15" s="22">
        <v>1</v>
      </c>
      <c r="F15" s="22">
        <f t="shared" si="0"/>
        <v>1</v>
      </c>
      <c r="G15" s="22">
        <f t="shared" si="1"/>
        <v>1</v>
      </c>
      <c r="H15" s="22">
        <f t="shared" si="2"/>
        <v>4</v>
      </c>
      <c r="I15" s="22"/>
      <c r="J15" s="22" t="str">
        <f t="shared" si="3"/>
        <v/>
      </c>
      <c r="K15" s="8" t="inlineStr">
        <is>
          <t xml:space="preserve">Cuantitativa</t>
        </is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>
      <c r="A16" s="22" t="s">
        <v>73</v>
      </c>
      <c r="B16" s="22" t="s">
        <v>74</v>
      </c>
      <c r="C16" s="22" t="s">
        <v>75</v>
      </c>
      <c r="D16" s="22" t="s">
        <v>204</v>
      </c>
      <c r="E16" s="22">
        <v>3</v>
      </c>
      <c r="F16" s="22">
        <f t="shared" si="0"/>
        <v>2</v>
      </c>
      <c r="G16" s="22">
        <f t="shared" si="1"/>
        <v>6</v>
      </c>
      <c r="H16" s="22">
        <f t="shared" si="2"/>
        <v>12</v>
      </c>
      <c r="I16" s="22"/>
      <c r="J16" s="22" t="str">
        <f t="shared" si="3"/>
        <v/>
      </c>
      <c r="K16" s="8" t="inlineStr">
        <is>
          <t xml:space="preserve">Cualitativa</t>
        </is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28.5">
      <c r="A17" s="22" t="s">
        <v>76</v>
      </c>
      <c r="B17" s="22" t="s">
        <v>74</v>
      </c>
      <c r="C17" s="22" t="inlineStr">
        <is>
          <t xml:space="preserve">¿Cuántos canales o frontales impacta (App, web, portal, contact center, backoffice)?</t>
        </is>
      </c>
      <c r="D17" s="22" t="inlineStr">
        <is>
          <t xml:space="preserve">2 - 2 canales</t>
        </is>
      </c>
      <c r="E17" s="22">
        <v>2</v>
      </c>
      <c r="F17" s="22">
        <f t="shared" si="0"/>
        <v>2</v>
      </c>
      <c r="G17" s="22">
        <f t="shared" si="1"/>
        <v>4</v>
      </c>
      <c r="H17" s="22">
        <f t="shared" si="2"/>
        <v>8</v>
      </c>
      <c r="I17" s="22"/>
      <c r="J17" s="22" t="str">
        <f t="shared" si="3"/>
        <v/>
      </c>
      <c r="K17" s="8" t="inlineStr">
        <is>
          <t xml:space="preserve">Cuantitativa</t>
        </is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28.5">
      <c r="A18" s="22" t="s">
        <v>78</v>
      </c>
      <c r="B18" s="22" t="s">
        <v>74</v>
      </c>
      <c r="C18" s="22" t="s">
        <v>79</v>
      </c>
      <c r="D18" s="22" t="s">
        <v>204</v>
      </c>
      <c r="E18" s="22">
        <v>2</v>
      </c>
      <c r="F18" s="22">
        <f t="shared" si="0"/>
        <v>2</v>
      </c>
      <c r="G18" s="22">
        <f t="shared" si="1"/>
        <v>4</v>
      </c>
      <c r="H18" s="22">
        <f t="shared" si="2"/>
        <v>8</v>
      </c>
      <c r="I18" s="22"/>
      <c r="J18" s="22" t="str">
        <f t="shared" si="3"/>
        <v/>
      </c>
      <c r="K18" s="8" t="inlineStr">
        <is>
          <t xml:space="preserve">Cualitativa</t>
        </is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22" t="s">
        <v>80</v>
      </c>
      <c r="B19" s="22" t="s">
        <v>74</v>
      </c>
      <c r="C19" s="22" t="s">
        <v>81</v>
      </c>
      <c r="D19" s="22" t="s">
        <v>204</v>
      </c>
      <c r="E19" s="22">
        <v>3</v>
      </c>
      <c r="F19" s="22">
        <f t="shared" si="0"/>
        <v>2</v>
      </c>
      <c r="G19" s="22">
        <f t="shared" si="1"/>
        <v>6</v>
      </c>
      <c r="H19" s="22">
        <f t="shared" si="2"/>
        <v>12</v>
      </c>
      <c r="I19" s="22"/>
      <c r="J19" s="22" t="str">
        <f t="shared" si="3"/>
        <v/>
      </c>
      <c r="K19" s="8" t="inlineStr">
        <is>
          <t xml:space="preserve">Cualitativa</t>
        </is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 s="22" t="s">
        <v>82</v>
      </c>
      <c r="B20" s="22" t="s">
        <v>83</v>
      </c>
      <c r="C20" s="22" t="s">
        <v>84</v>
      </c>
      <c r="D20" s="22"/>
      <c r="E20" s="22">
        <v>3</v>
      </c>
      <c r="F20" s="22">
        <f t="shared" si="0"/>
        <v>0</v>
      </c>
      <c r="G20" s="22">
        <f t="shared" si="1"/>
        <v>0</v>
      </c>
      <c r="H20" s="22">
        <f t="shared" si="2"/>
        <v>12</v>
      </c>
      <c r="I20" s="22"/>
      <c r="J20" s="22" t="str">
        <f t="shared" si="3"/>
        <v/>
      </c>
      <c r="K20" s="8" t="inlineStr">
        <is>
          <t xml:space="preserve">Cuantitativa</t>
        </is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28.5">
      <c r="A21" s="22" t="s">
        <v>85</v>
      </c>
      <c r="B21" s="22" t="s">
        <v>83</v>
      </c>
      <c r="C21" s="22" t="inlineStr">
        <is>
          <t xml:space="preserve">¿Cuántos terceros externos involucra (aliados retail, bureaus, pasarelas, proveedores, core, antifraude)?</t>
        </is>
      </c>
      <c r="D21" s="22"/>
      <c r="E21" s="22">
        <v>3</v>
      </c>
      <c r="F21" s="22">
        <f t="shared" si="0"/>
        <v>0</v>
      </c>
      <c r="G21" s="22">
        <f t="shared" si="1"/>
        <v>0</v>
      </c>
      <c r="H21" s="22">
        <f t="shared" si="2"/>
        <v>12</v>
      </c>
      <c r="I21" s="22"/>
      <c r="J21" s="22" t="str">
        <f t="shared" si="3"/>
        <v/>
      </c>
      <c r="K21" s="8" t="inlineStr">
        <is>
          <t xml:space="preserve">Cuantitativa</t>
        </is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>
      <c r="A22" s="22" t="s">
        <v>87</v>
      </c>
      <c r="B22" s="22" t="s">
        <v>83</v>
      </c>
      <c r="C22" s="22" t="inlineStr">
        <is>
          <t xml:space="preserve">¿Cuántas APIs o integraciones nuevas/cambios requiere (APIM, eventos, mensajería)?</t>
        </is>
      </c>
      <c r="D22" s="22"/>
      <c r="E22" s="22">
        <v>2</v>
      </c>
      <c r="F22" s="22">
        <f t="shared" si="0"/>
        <v>0</v>
      </c>
      <c r="G22" s="22">
        <f t="shared" si="1"/>
        <v>0</v>
      </c>
      <c r="H22" s="22">
        <f t="shared" si="2"/>
        <v>8</v>
      </c>
      <c r="I22" s="22"/>
      <c r="J22" s="22" t="str">
        <f t="shared" si="3"/>
        <v/>
      </c>
      <c r="K22" s="8" t="inlineStr">
        <is>
          <t xml:space="preserve">Cuantitativa</t>
        </is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28.5">
      <c r="A23" s="22" t="s">
        <v>89</v>
      </c>
      <c r="B23" s="22" t="s">
        <v>83</v>
      </c>
      <c r="C23" s="22" t="inlineStr">
        <is>
          <t xml:space="preserve">¿De cuántos equipos externos a la célula depende?</t>
        </is>
      </c>
      <c r="D23" s="22"/>
      <c r="E23" s="22">
        <v>2</v>
      </c>
      <c r="F23" s="22">
        <f t="shared" si="0"/>
        <v>0</v>
      </c>
      <c r="G23" s="22">
        <f t="shared" si="1"/>
        <v>0</v>
      </c>
      <c r="H23" s="22">
        <f t="shared" si="2"/>
        <v>8</v>
      </c>
      <c r="I23" s="22"/>
      <c r="J23" s="22" t="str">
        <f t="shared" si="3"/>
        <v/>
      </c>
      <c r="K23" s="8" t="inlineStr">
        <is>
          <t xml:space="preserve">Cuantitativa</t>
        </is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22" t="s">
        <v>91</v>
      </c>
      <c r="B24" s="22" t="s">
        <v>92</v>
      </c>
      <c r="C24" s="22" t="s">
        <v>93</v>
      </c>
      <c r="D24" s="22"/>
      <c r="E24" s="22">
        <v>3</v>
      </c>
      <c r="F24" s="22">
        <f t="shared" si="0"/>
        <v>0</v>
      </c>
      <c r="G24" s="22">
        <f t="shared" si="1"/>
        <v>0</v>
      </c>
      <c r="H24" s="22">
        <f t="shared" si="2"/>
        <v>12</v>
      </c>
      <c r="I24" s="22"/>
      <c r="J24" s="22" t="str">
        <f t="shared" si="3"/>
        <v/>
      </c>
      <c r="K24" s="8" t="inlineStr">
        <is>
          <t xml:space="preserve">Cualitativa</t>
        </is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22" t="s">
        <v>94</v>
      </c>
      <c r="B25" s="22" t="s">
        <v>92</v>
      </c>
      <c r="C25" s="22" t="s">
        <v>95</v>
      </c>
      <c r="D25" s="22"/>
      <c r="E25" s="22">
        <v>3</v>
      </c>
      <c r="F25" s="22">
        <f t="shared" si="0"/>
        <v>0</v>
      </c>
      <c r="G25" s="22">
        <f t="shared" si="1"/>
        <v>0</v>
      </c>
      <c r="H25" s="22">
        <f t="shared" si="2"/>
        <v>12</v>
      </c>
      <c r="I25" s="22"/>
      <c r="J25" s="22" t="str">
        <f t="shared" si="3"/>
        <v/>
      </c>
      <c r="K25" s="8" t="inlineStr">
        <is>
          <t xml:space="preserve">Cualitativa</t>
        </is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28.5">
      <c r="A26" s="22" t="s">
        <v>96</v>
      </c>
      <c r="B26" s="22" t="s">
        <v>92</v>
      </c>
      <c r="C26" s="22" t="s">
        <v>97</v>
      </c>
      <c r="D26" s="22"/>
      <c r="E26" s="22">
        <v>2</v>
      </c>
      <c r="F26" s="22">
        <f t="shared" si="0"/>
        <v>0</v>
      </c>
      <c r="G26" s="22">
        <f t="shared" si="1"/>
        <v>0</v>
      </c>
      <c r="H26" s="22">
        <f t="shared" si="2"/>
        <v>8</v>
      </c>
      <c r="I26" s="22"/>
      <c r="J26" s="22" t="str">
        <f t="shared" si="3"/>
        <v/>
      </c>
      <c r="K26" s="8" t="inlineStr">
        <is>
          <t xml:space="preserve">Cualitativa</t>
        </is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28.5">
      <c r="A27" s="22" t="s">
        <v>98</v>
      </c>
      <c r="B27" s="22" t="s">
        <v>92</v>
      </c>
      <c r="C27" s="22" t="s">
        <v>99</v>
      </c>
      <c r="D27" s="22"/>
      <c r="E27" s="22">
        <v>3</v>
      </c>
      <c r="F27" s="22">
        <f t="shared" si="0"/>
        <v>0</v>
      </c>
      <c r="G27" s="22">
        <f t="shared" si="1"/>
        <v>0</v>
      </c>
      <c r="H27" s="22">
        <f t="shared" si="2"/>
        <v>12</v>
      </c>
      <c r="I27" s="22"/>
      <c r="J27" s="22" t="str">
        <f t="shared" si="3"/>
        <v/>
      </c>
      <c r="K27" s="8" t="inlineStr">
        <is>
          <t xml:space="preserve">Cualitativa</t>
        </is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28.5">
      <c r="A28" s="22" t="s">
        <v>100</v>
      </c>
      <c r="B28" s="22" t="s">
        <v>92</v>
      </c>
      <c r="C28" s="22" t="s">
        <v>101</v>
      </c>
      <c r="D28" s="22"/>
      <c r="E28" s="22">
        <v>2</v>
      </c>
      <c r="F28" s="22">
        <f t="shared" si="0"/>
        <v>0</v>
      </c>
      <c r="G28" s="22">
        <f t="shared" si="1"/>
        <v>0</v>
      </c>
      <c r="H28" s="22">
        <f t="shared" si="2"/>
        <v>8</v>
      </c>
      <c r="I28" s="22"/>
      <c r="J28" s="22" t="str">
        <f t="shared" si="3"/>
        <v/>
      </c>
      <c r="K28" s="8" t="inlineStr">
        <is>
          <t xml:space="preserve">Cualitativa</t>
        </is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22" t="s">
        <v>102</v>
      </c>
      <c r="B29" s="22" t="s">
        <v>103</v>
      </c>
      <c r="C29" s="22" t="s">
        <v>104</v>
      </c>
      <c r="D29" s="22"/>
      <c r="E29" s="22">
        <v>3</v>
      </c>
      <c r="F29" s="22">
        <f t="shared" si="0"/>
        <v>0</v>
      </c>
      <c r="G29" s="22">
        <f t="shared" si="1"/>
        <v>0</v>
      </c>
      <c r="H29" s="22">
        <f t="shared" si="2"/>
        <v>12</v>
      </c>
      <c r="I29" s="22"/>
      <c r="J29" s="22" t="str">
        <f t="shared" si="3"/>
        <v/>
      </c>
      <c r="K29" s="8" t="inlineStr">
        <is>
          <t xml:space="preserve">Cualitativa</t>
        </is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28.5">
      <c r="A30" s="22" t="s">
        <v>105</v>
      </c>
      <c r="B30" s="22" t="s">
        <v>103</v>
      </c>
      <c r="C30" s="22" t="s">
        <v>106</v>
      </c>
      <c r="D30" s="22"/>
      <c r="E30" s="22">
        <v>3</v>
      </c>
      <c r="F30" s="22">
        <f t="shared" si="0"/>
        <v>0</v>
      </c>
      <c r="G30" s="22">
        <f t="shared" si="1"/>
        <v>0</v>
      </c>
      <c r="H30" s="22">
        <f t="shared" si="2"/>
        <v>12</v>
      </c>
      <c r="I30" s="22"/>
      <c r="J30" s="22" t="str">
        <f t="shared" si="3"/>
        <v/>
      </c>
      <c r="K30" s="8" t="inlineStr">
        <is>
          <t xml:space="preserve">Cualitativa</t>
        </is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28.5">
      <c r="A31" s="22" t="s">
        <v>107</v>
      </c>
      <c r="B31" s="22" t="s">
        <v>103</v>
      </c>
      <c r="C31" s="22" t="s">
        <v>108</v>
      </c>
      <c r="D31" s="22"/>
      <c r="E31" s="22">
        <v>3</v>
      </c>
      <c r="F31" s="22">
        <f t="shared" si="0"/>
        <v>0</v>
      </c>
      <c r="G31" s="22">
        <f t="shared" si="1"/>
        <v>0</v>
      </c>
      <c r="H31" s="22">
        <f t="shared" si="2"/>
        <v>12</v>
      </c>
      <c r="I31" s="22"/>
      <c r="J31" s="22" t="str">
        <f t="shared" si="3"/>
        <v/>
      </c>
      <c r="K31" s="8" t="inlineStr">
        <is>
          <t xml:space="preserve">Cualitativa</t>
        </is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28.5">
      <c r="A32" s="22" t="s">
        <v>109</v>
      </c>
      <c r="B32" s="22" t="s">
        <v>103</v>
      </c>
      <c r="C32" s="22" t="s">
        <v>110</v>
      </c>
      <c r="D32" s="22"/>
      <c r="E32" s="22">
        <v>2</v>
      </c>
      <c r="F32" s="22">
        <f t="shared" si="0"/>
        <v>0</v>
      </c>
      <c r="G32" s="22">
        <f t="shared" si="1"/>
        <v>0</v>
      </c>
      <c r="H32" s="22">
        <f t="shared" si="2"/>
        <v>8</v>
      </c>
      <c r="I32" s="22"/>
      <c r="J32" s="22" t="str">
        <f t="shared" si="3"/>
        <v/>
      </c>
      <c r="K32" s="8" t="inlineStr">
        <is>
          <t xml:space="preserve">Cualitativa</t>
        </is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28.5">
      <c r="A33" s="22" t="s">
        <v>111</v>
      </c>
      <c r="B33" s="22" t="s">
        <v>103</v>
      </c>
      <c r="C33" s="22" t="s">
        <v>112</v>
      </c>
      <c r="D33" s="22"/>
      <c r="E33" s="22">
        <v>2</v>
      </c>
      <c r="F33" s="22">
        <f t="shared" si="0"/>
        <v>0</v>
      </c>
      <c r="G33" s="22">
        <f t="shared" si="1"/>
        <v>0</v>
      </c>
      <c r="H33" s="22">
        <f t="shared" si="2"/>
        <v>8</v>
      </c>
      <c r="I33" s="22"/>
      <c r="J33" s="22" t="str">
        <f t="shared" si="3"/>
        <v/>
      </c>
      <c r="K33" s="8" t="inlineStr">
        <is>
          <t xml:space="preserve">Cualitativa</t>
        </is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28.5">
      <c r="A34" s="22" t="s">
        <v>113</v>
      </c>
      <c r="B34" s="22" t="s">
        <v>114</v>
      </c>
      <c r="C34" s="22" t="s">
        <v>115</v>
      </c>
      <c r="D34" s="22"/>
      <c r="E34" s="22">
        <v>2</v>
      </c>
      <c r="F34" s="22">
        <f t="shared" si="0"/>
        <v>0</v>
      </c>
      <c r="G34" s="22">
        <f t="shared" si="1"/>
        <v>0</v>
      </c>
      <c r="H34" s="22">
        <f t="shared" si="2"/>
        <v>8</v>
      </c>
      <c r="I34" s="22"/>
      <c r="J34" s="22" t="str">
        <f t="shared" si="3"/>
        <v/>
      </c>
      <c r="K34" s="8" t="inlineStr">
        <is>
          <t xml:space="preserve">Cualitativa</t>
        </is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28.5">
      <c r="A35" s="22" t="s">
        <v>116</v>
      </c>
      <c r="B35" s="22" t="s">
        <v>114</v>
      </c>
      <c r="C35" s="22" t="s">
        <v>117</v>
      </c>
      <c r="D35" s="22"/>
      <c r="E35" s="22">
        <v>2</v>
      </c>
      <c r="F35" s="22">
        <f t="shared" si="0"/>
        <v>0</v>
      </c>
      <c r="G35" s="22">
        <f t="shared" si="1"/>
        <v>0</v>
      </c>
      <c r="H35" s="22">
        <f t="shared" si="2"/>
        <v>8</v>
      </c>
      <c r="I35" s="22"/>
      <c r="J35" s="22" t="str">
        <f t="shared" si="3"/>
        <v/>
      </c>
      <c r="K35" s="8" t="inlineStr">
        <is>
          <t xml:space="preserve">Cualitativa</t>
        </is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28.5">
      <c r="A36" s="22" t="s">
        <v>118</v>
      </c>
      <c r="B36" s="22" t="s">
        <v>114</v>
      </c>
      <c r="C36" s="22" t="s">
        <v>119</v>
      </c>
      <c r="D36" s="22"/>
      <c r="E36" s="22">
        <v>3</v>
      </c>
      <c r="F36" s="22">
        <f t="shared" si="0"/>
        <v>0</v>
      </c>
      <c r="G36" s="22">
        <f t="shared" si="1"/>
        <v>0</v>
      </c>
      <c r="H36" s="22">
        <f t="shared" si="2"/>
        <v>12</v>
      </c>
      <c r="I36" s="22"/>
      <c r="J36" s="22" t="str">
        <f t="shared" si="3"/>
        <v/>
      </c>
      <c r="K36" s="8" t="inlineStr">
        <is>
          <t xml:space="preserve">Cualitativa</t>
        </is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28.5">
      <c r="A37" s="22" t="s">
        <v>120</v>
      </c>
      <c r="B37" s="22" t="s">
        <v>114</v>
      </c>
      <c r="C37" s="22" t="s">
        <v>121</v>
      </c>
      <c r="D37" s="22"/>
      <c r="E37" s="22">
        <v>2</v>
      </c>
      <c r="F37" s="22">
        <f t="shared" si="0"/>
        <v>0</v>
      </c>
      <c r="G37" s="22">
        <f t="shared" si="1"/>
        <v>0</v>
      </c>
      <c r="H37" s="22">
        <f t="shared" si="2"/>
        <v>8</v>
      </c>
      <c r="I37" s="22"/>
      <c r="J37" s="22" t="str">
        <f t="shared" si="3"/>
        <v/>
      </c>
      <c r="K37" s="8" t="inlineStr">
        <is>
          <t xml:space="preserve">Cualitativa</t>
        </is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28.5">
      <c r="A38" s="22" t="s">
        <v>122</v>
      </c>
      <c r="B38" s="22" t="s">
        <v>123</v>
      </c>
      <c r="C38" s="22" t="s">
        <v>124</v>
      </c>
      <c r="D38" s="22"/>
      <c r="E38" s="22">
        <v>2</v>
      </c>
      <c r="F38" s="22">
        <f t="shared" si="0"/>
        <v>0</v>
      </c>
      <c r="G38" s="22">
        <f t="shared" si="1"/>
        <v>0</v>
      </c>
      <c r="H38" s="22">
        <f t="shared" si="2"/>
        <v>8</v>
      </c>
      <c r="I38" s="22"/>
      <c r="J38" s="22" t="str">
        <f t="shared" si="3"/>
        <v/>
      </c>
      <c r="K38" s="8" t="inlineStr">
        <is>
          <t xml:space="preserve">Cualitativa</t>
        </is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28.5">
      <c r="A39" s="22" t="s">
        <v>125</v>
      </c>
      <c r="B39" s="22" t="s">
        <v>123</v>
      </c>
      <c r="C39" s="22" t="s">
        <v>126</v>
      </c>
      <c r="D39" s="22"/>
      <c r="E39" s="22">
        <v>2</v>
      </c>
      <c r="F39" s="22">
        <f t="shared" si="0"/>
        <v>0</v>
      </c>
      <c r="G39" s="22">
        <f t="shared" si="1"/>
        <v>0</v>
      </c>
      <c r="H39" s="22">
        <f t="shared" si="2"/>
        <v>8</v>
      </c>
      <c r="I39" s="22"/>
      <c r="J39" s="22" t="str">
        <f t="shared" si="3"/>
        <v/>
      </c>
      <c r="K39" s="8" t="inlineStr">
        <is>
          <t xml:space="preserve">Cualitativa</t>
        </is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22" t="s">
        <v>127</v>
      </c>
      <c r="B40" s="22" t="s">
        <v>123</v>
      </c>
      <c r="C40" s="22" t="s">
        <v>128</v>
      </c>
      <c r="D40" s="22"/>
      <c r="E40" s="22">
        <v>1</v>
      </c>
      <c r="F40" s="22">
        <f t="shared" si="0"/>
        <v>0</v>
      </c>
      <c r="G40" s="22">
        <f t="shared" si="1"/>
        <v>0</v>
      </c>
      <c r="H40" s="22">
        <f t="shared" si="2"/>
        <v>4</v>
      </c>
      <c r="I40" s="22"/>
      <c r="J40" s="22" t="str">
        <f t="shared" si="3"/>
        <v/>
      </c>
      <c r="K40" s="8" t="inlineStr">
        <is>
          <t xml:space="preserve">Cualitativa</t>
        </is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28.5">
      <c r="A41" s="22" t="s">
        <v>129</v>
      </c>
      <c r="B41" s="22" t="s">
        <v>123</v>
      </c>
      <c r="C41" s="22" t="s">
        <v>130</v>
      </c>
      <c r="D41" s="22"/>
      <c r="E41" s="22">
        <v>2</v>
      </c>
      <c r="F41" s="22">
        <f t="shared" si="0"/>
        <v>0</v>
      </c>
      <c r="G41" s="22">
        <f t="shared" si="1"/>
        <v>0</v>
      </c>
      <c r="H41" s="22">
        <f t="shared" si="2"/>
        <v>8</v>
      </c>
      <c r="I41" s="22"/>
      <c r="J41" s="22" t="str">
        <f t="shared" si="3"/>
        <v/>
      </c>
      <c r="K41" s="8" t="inlineStr">
        <is>
          <t xml:space="preserve">Cualitativa</t>
        </is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15" t="s">
        <v>131</v>
      </c>
      <c r="B44" s="17"/>
      <c r="C44" s="17"/>
      <c r="D44" s="17"/>
      <c r="E44" s="17"/>
      <c r="F44" s="17"/>
      <c r="G44" s="17"/>
      <c r="H44" s="1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30">
      <c r="A45" s="1" t="s">
        <v>132</v>
      </c>
      <c r="B45" s="2">
        <f>SUM(G12:G41)</f>
        <v>39</v>
      </c>
      <c r="C45" s="8" t="s">
        <v>133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30">
      <c r="A46" s="1" t="s">
        <v>134</v>
      </c>
      <c r="B46" s="2">
        <f>SUM(H12:H41)</f>
        <v>280</v>
      </c>
      <c r="C46" s="8" t="s">
        <v>135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60">
      <c r="A47" s="1" t="s">
        <v>136</v>
      </c>
      <c r="B47" s="3">
        <f>IFERROR(B45/B46*100,0)</f>
        <v>13.928571428571429</v>
      </c>
      <c r="C47" s="8" t="s">
        <v>137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45">
      <c r="A48" s="1" t="s">
        <v>138</v>
      </c>
      <c r="B48" s="2" t="str">
        <f>LOOKUP(B47,Reglas!$D$5:$D$9,Reglas!$F$5:$F$9)</f>
        <v>XS</v>
      </c>
      <c r="C48" s="8" t="s">
        <v>139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2">
    <mergeCell ref="A1:J1"/>
    <mergeCell ref="A44:H44"/>
  </mergeCells>
  <conditionalFormatting sqref="F12:F41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dataValidations count="1">
    <dataValidation sqref="B8" xr:uid="{00000000-0002-0000-0100-000001000000}">
      <formula1>1</formula1>
      <formula2>36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B2B503A6-9814-43A2-BB73-0FC8B1911D64}">
          <x14:formula1>
            <xm:f>Reglas!$A$11:$A$17</xm:f>
          </x14:formula1>
          <xm:sqref>B6</xm:sqref>
        </x14:dataValidation>
        <x14:dataValidation type="list" xr:uid="{D9A53C1B-5FFF-416E-9FF0-525C2D0DF199}">
          <x14:formula1>
            <xm:f>Reglas!$A$4:$A$8</xm:f>
          </x14:formula1>
          <xm:sqref>D12:D14 D16 D18:D19 D24:D41</xm:sqref>
        </x14:dataValidation>
        <x14:dataValidation type="list" xr:uid="{A5C11A31-E7C4-41F9-AA9E-401249CF1113}">
          <x14:formula1>
            <xm:f>Reglas!$Y$4:$Y$8</xm:f>
          </x14:formula1>
          <xm:sqref>D20</xm:sqref>
        </x14:dataValidation>
        <x14:dataValidation type="list" xr:uid="{609E1CD8-B8B8-42A2-90D4-10D9D8E3D35E}">
          <x14:formula1>
            <xm:f>Reglas!$Z$4:$Z$8</xm:f>
          </x14:formula1>
          <xm:sqref>D21</xm:sqref>
        </x14:dataValidation>
        <x14:dataValidation type="list" xr:uid="{37E495ED-693F-4203-A8C6-0589FCFBC627}">
          <x14:formula1>
            <xm:f>Reglas!$AA$4:$AA$8</xm:f>
          </x14:formula1>
          <xm:sqref>D22</xm:sqref>
        </x14:dataValidation>
        <x14:dataValidation type="list" xr:uid="{4775D75B-3E67-4D51-8167-8CBC8BF5189E}">
          <x14:formula1>
            <xm:f>Reglas!$AB$4:$AB$8</xm:f>
          </x14:formula1>
          <xm:sqref>D23</xm:sqref>
        </x14:dataValidation>
        <x14:dataValidation type="list" xr:uid="{6539BC02-2C11-44CA-8FC7-07176B27C704}">
          <x14:formula1>
            <xm:f>Reglas!$AC$4:$AC$8</xm:f>
          </x14:formula1>
          <xm:sqref>D15</xm:sqref>
        </x14:dataValidation>
        <x14:dataValidation type="list" xr:uid="{A5C63A7A-1814-45B0-BFB1-F8EFC2CC0A70}">
          <x14:formula1>
            <xm:f>Reglas!$AD$4:$AD$8</xm:f>
          </x14:formula1>
          <xm:sqref>D17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00"/>
  <sheetViews>
    <sheetView topLeftCell="A23" workbookViewId="0">
      <selection activeCell="C28" sqref="C28"/>
    </sheetView>
  </sheetViews>
  <sheetFormatPr defaultRowHeight="14.25"/>
  <cols>
    <col min="1" max="1" width="34" customWidth="1"/>
    <col min="2" max="2" width="18" customWidth="1"/>
    <col min="3" max="6" width="14" customWidth="1"/>
    <col min="7" max="7" width="42" customWidth="1"/>
    <col min="8" max="8" width="12" customWidth="1"/>
  </cols>
  <sheetData>
    <row r="1" spans="1:23" ht="27.95" customHeight="1">
      <c r="A1" s="14" t="s">
        <v>140</v>
      </c>
      <c r="B1" s="14"/>
      <c r="C1" s="14"/>
      <c r="D1" s="14"/>
      <c r="E1" s="14"/>
      <c r="F1" s="14"/>
      <c r="G1" s="14"/>
      <c r="H1" s="14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7"/>
      <c r="B2" s="7"/>
      <c r="C2" s="7"/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>
      <c r="A3" s="15" t="s">
        <v>141</v>
      </c>
      <c r="B3" s="16"/>
      <c r="C3" s="16"/>
      <c r="D3" s="16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15">
      <c r="A4" s="1" t="s">
        <v>142</v>
      </c>
      <c r="B4" s="2">
        <f>Formulario!B4</f>
        <v>0</v>
      </c>
      <c r="C4" s="7"/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15">
      <c r="A5" s="1" t="s">
        <v>143</v>
      </c>
      <c r="B5" s="2">
        <f>Formulario!B6</f>
        <v>0</v>
      </c>
      <c r="C5" s="7"/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5">
      <c r="A6" s="1" t="s">
        <v>51</v>
      </c>
      <c r="B6" s="2">
        <f>Formulario!B8</f>
        <v>0</v>
      </c>
      <c r="C6" s="7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5">
      <c r="A7" s="1" t="s">
        <v>60</v>
      </c>
      <c r="B7" s="2">
        <f>SUM(Formulario!G12:G41)</f>
        <v>39</v>
      </c>
      <c r="C7" s="7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ht="15">
      <c r="A8" s="1" t="s">
        <v>134</v>
      </c>
      <c r="B8" s="2">
        <f>SUM(Formulario!H12:H41)</f>
        <v>280</v>
      </c>
      <c r="C8" s="7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5">
      <c r="A9" s="1" t="s">
        <v>144</v>
      </c>
      <c r="B9" s="3">
        <f>IFERROR(B7/B8*100,0)</f>
        <v>13.928571428571429</v>
      </c>
      <c r="C9" s="7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15">
      <c r="A10" s="1" t="s">
        <v>145</v>
      </c>
      <c r="B10" s="2" t="str">
        <f>LOOKUP(B9,Reglas!$D$5:$D$9,Reglas!$F$5:$F$9)</f>
        <v>XS</v>
      </c>
      <c r="C10" s="7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15">
      <c r="A11" s="1" t="s">
        <v>146</v>
      </c>
      <c r="B11" s="3">
        <f>INDEX(Reglas!$G$5:$G$9,MATCH(B10,Reglas!$F$5:$F$9,0))</f>
        <v>1</v>
      </c>
      <c r="C11" s="7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15">
      <c r="A12" s="1" t="s">
        <v>147</v>
      </c>
      <c r="B12" s="3">
        <f>INDEX(Reglas!$H$5:$H$9,MATCH(B10,Reglas!$F$5:$F$9,0))</f>
        <v>3</v>
      </c>
      <c r="C12" s="7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15">
      <c r="A13" s="1" t="s">
        <v>148</v>
      </c>
      <c r="B13" s="3">
        <f>IFERROR(B11/B6,0)</f>
        <v>0</v>
      </c>
      <c r="C13" s="7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15">
      <c r="A14" s="1" t="s">
        <v>149</v>
      </c>
      <c r="B14" s="3">
        <f>IFERROR(B12/B6,0)</f>
        <v>0</v>
      </c>
      <c r="C14" s="7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ht="15">
      <c r="A15" s="1" t="s">
        <v>150</v>
      </c>
      <c r="B15" s="2">
        <f>IFERROR(((B11+B12)/2)/B6,0)</f>
        <v>0</v>
      </c>
      <c r="C15" s="7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ht="28.5">
      <c r="A16" s="1" t="s">
        <v>151</v>
      </c>
      <c r="B16" s="2" t="str">
        <f>INDEX(Reglas!$I$5:$I$9,MATCH(B10,Reglas!$F$5:$F$9,0))</f>
        <v>Cambio menor o ajuste acotado.</v>
      </c>
      <c r="C16" s="7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42.75">
      <c r="A17" s="1" t="s">
        <v>152</v>
      </c>
      <c r="B17" s="2" t="str">
        <f>INDEX(Reglas!$J$5:$J$9,MATCH(B10,Reglas!$F$5:$F$9,0))</f>
        <v>Resolver con capacidad existente o célula ligera.</v>
      </c>
      <c r="C17" s="7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>
      <c r="A18" s="7"/>
      <c r="B18" s="7"/>
      <c r="C18" s="7"/>
      <c r="D18" s="7"/>
      <c r="E18" s="7"/>
      <c r="F18" s="7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7"/>
      <c r="B19" s="7"/>
      <c r="C19" s="7"/>
      <c r="D19" s="7"/>
      <c r="E19" s="7"/>
      <c r="F19" s="7"/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 s="15" t="s">
        <v>153</v>
      </c>
      <c r="B20" s="16"/>
      <c r="C20" s="16"/>
      <c r="D20" s="16"/>
      <c r="E20" s="16"/>
      <c r="F20" s="7"/>
      <c r="G20" s="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5">
      <c r="A21" s="1" t="s">
        <v>56</v>
      </c>
      <c r="B21" s="1" t="s">
        <v>154</v>
      </c>
      <c r="C21" s="1" t="s">
        <v>61</v>
      </c>
      <c r="D21" s="1" t="s">
        <v>155</v>
      </c>
      <c r="E21" s="1" t="s">
        <v>156</v>
      </c>
      <c r="F21" s="7"/>
      <c r="G21" s="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>
      <c r="A22" s="7" t="s">
        <v>65</v>
      </c>
      <c r="B22" s="7">
        <f>SUMIF(Formulario!$B$12:$B$41,A22,Formulario!$G$12:$G$41)</f>
        <v>19</v>
      </c>
      <c r="C22" s="7">
        <f>SUMIF(Formulario!$B$12:$B$41,A22,Formulario!$H$12:$H$41)</f>
        <v>32</v>
      </c>
      <c r="D22" s="9">
        <f t="shared" ref="D22:D28" si="0">IFERROR(B22/C22*100,0)</f>
        <v>59.375</v>
      </c>
      <c r="E22" s="7" t="str">
        <f>LOOKUP(D22,Reglas!$D$5:$D$9,Reglas!$F$5:$F$9)</f>
        <v>L</v>
      </c>
      <c r="F22" s="7"/>
      <c r="G22" s="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>
      <c r="A23" s="7" t="s">
        <v>74</v>
      </c>
      <c r="B23" s="7">
        <f>SUMIF(Formulario!$B$12:$B$41,A23,Formulario!$G$12:$G$41)</f>
        <v>20</v>
      </c>
      <c r="C23" s="7">
        <f>SUMIF(Formulario!$B$12:$B$41,A23,Formulario!$H$12:$H$41)</f>
        <v>40</v>
      </c>
      <c r="D23" s="9">
        <f t="shared" si="0"/>
        <v>50</v>
      </c>
      <c r="E23" s="7" t="str">
        <f>LOOKUP(D23,Reglas!$D$5:$D$9,Reglas!$F$5:$F$9)</f>
        <v>M</v>
      </c>
      <c r="F23" s="7"/>
      <c r="G23" s="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7" t="s">
        <v>83</v>
      </c>
      <c r="B24" s="7">
        <f>SUMIF(Formulario!$B$12:$B$41,A24,Formulario!$G$12:$G$41)</f>
        <v>0</v>
      </c>
      <c r="C24" s="7">
        <f>SUMIF(Formulario!$B$12:$B$41,A24,Formulario!$H$12:$H$41)</f>
        <v>40</v>
      </c>
      <c r="D24" s="9">
        <f t="shared" si="0"/>
        <v>0</v>
      </c>
      <c r="E24" s="7" t="str">
        <f>LOOKUP(D24,Reglas!$D$5:$D$9,Reglas!$F$5:$F$9)</f>
        <v>XS</v>
      </c>
      <c r="F24" s="7"/>
      <c r="G24" s="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7" t="s">
        <v>92</v>
      </c>
      <c r="B25" s="7">
        <f>SUMIF(Formulario!$B$12:$B$41,A25,Formulario!$G$12:$G$41)</f>
        <v>0</v>
      </c>
      <c r="C25" s="7">
        <f>SUMIF(Formulario!$B$12:$B$41,A25,Formulario!$H$12:$H$41)</f>
        <v>52</v>
      </c>
      <c r="D25" s="9">
        <f t="shared" si="0"/>
        <v>0</v>
      </c>
      <c r="E25" s="7" t="str">
        <f>LOOKUP(D25,Reglas!$D$5:$D$9,Reglas!$F$5:$F$9)</f>
        <v>XS</v>
      </c>
      <c r="F25" s="7"/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>
      <c r="A26" s="7" t="s">
        <v>103</v>
      </c>
      <c r="B26" s="7">
        <f>SUMIF(Formulario!$B$12:$B$41,A26,Formulario!$G$12:$G$41)</f>
        <v>0</v>
      </c>
      <c r="C26" s="7">
        <f>SUMIF(Formulario!$B$12:$B$41,A26,Formulario!$H$12:$H$41)</f>
        <v>52</v>
      </c>
      <c r="D26" s="9">
        <f t="shared" si="0"/>
        <v>0</v>
      </c>
      <c r="E26" s="7" t="str">
        <f>LOOKUP(D26,Reglas!$D$5:$D$9,Reglas!$F$5:$F$9)</f>
        <v>XS</v>
      </c>
      <c r="F26" s="7"/>
      <c r="G26" s="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>
      <c r="A27" s="7" t="s">
        <v>114</v>
      </c>
      <c r="B27" s="7">
        <f>SUMIF(Formulario!$B$12:$B$41,A27,Formulario!$G$12:$G$41)</f>
        <v>0</v>
      </c>
      <c r="C27" s="7">
        <f>SUMIF(Formulario!$B$12:$B$41,A27,Formulario!$H$12:$H$41)</f>
        <v>36</v>
      </c>
      <c r="D27" s="9">
        <f t="shared" si="0"/>
        <v>0</v>
      </c>
      <c r="E27" s="7" t="str">
        <f>LOOKUP(D27,Reglas!$D$5:$D$9,Reglas!$F$5:$F$9)</f>
        <v>XS</v>
      </c>
      <c r="F27" s="7"/>
      <c r="G27" s="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>
      <c r="A28" s="7" t="s">
        <v>123</v>
      </c>
      <c r="B28" s="7">
        <f>SUMIF(Formulario!$B$12:$B$41,A28,Formulario!$G$12:$G$41)</f>
        <v>0</v>
      </c>
      <c r="C28" s="7">
        <f>SUMIF(Formulario!$B$12:$B$41,A28,Formulario!$H$12:$H$41)</f>
        <v>28</v>
      </c>
      <c r="D28" s="9">
        <f t="shared" si="0"/>
        <v>0</v>
      </c>
      <c r="E28" s="7" t="str">
        <f>LOOKUP(D28,Reglas!$D$5:$D$9,Reglas!$F$5:$F$9)</f>
        <v>XS</v>
      </c>
      <c r="F28" s="7"/>
      <c r="G28" s="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7"/>
      <c r="B29" s="7"/>
      <c r="C29" s="7"/>
      <c r="D29" s="7"/>
      <c r="E29" s="7"/>
      <c r="F29" s="7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>
      <c r="A30" s="7"/>
      <c r="B30" s="7"/>
      <c r="C30" s="7"/>
      <c r="D30" s="7"/>
      <c r="E30" s="7"/>
      <c r="F30" s="7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>
      <c r="A31" s="15" t="s">
        <v>157</v>
      </c>
      <c r="B31" s="16"/>
      <c r="C31" s="16"/>
      <c r="D31" s="16"/>
      <c r="E31" s="16"/>
      <c r="F31" s="16"/>
      <c r="G31" s="1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30">
      <c r="A32" s="1" t="s">
        <v>158</v>
      </c>
      <c r="B32" s="1" t="s">
        <v>159</v>
      </c>
      <c r="C32" s="1" t="s">
        <v>160</v>
      </c>
      <c r="D32" s="1" t="s">
        <v>161</v>
      </c>
      <c r="E32" s="1" t="s">
        <v>162</v>
      </c>
      <c r="F32" s="1" t="s">
        <v>163</v>
      </c>
      <c r="G32" s="1" t="s">
        <v>42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7" t="s">
        <v>164</v>
      </c>
      <c r="B33" s="7">
        <f>INDEX(Reglas!$M$5:$Q$15,MATCH(A33,Reglas!$K$5:$K$15,0),MATCH("SFIA "&amp;$B$10,Reglas!$M$4:$Q$4,0))</f>
        <v>3</v>
      </c>
      <c r="C33" s="10">
        <f>INDEX(Reglas!$R$5:$V$15,MATCH(A33,Reglas!$K$5:$K$15,0),MATCH("Mix "&amp;$B$10,Reglas!$R$4:$V$4,0))</f>
        <v>0.2</v>
      </c>
      <c r="D33" s="11">
        <f t="shared" ref="D33:D43" si="1">C33*$B$15</f>
        <v>0</v>
      </c>
      <c r="E33" s="4">
        <f>0</f>
        <v>0</v>
      </c>
      <c r="F33" s="11">
        <f t="shared" ref="F33:F43" si="2">MAX(0,D33+E33)</f>
        <v>0</v>
      </c>
      <c r="G33" s="7" t="str">
        <f>INDEX(Reglas!$W$5:$W$15,MATCH(A33,Reglas!$K$5:$K$15,0))</f>
        <v>Indispensable para foco y priorización.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7" t="s">
        <v>165</v>
      </c>
      <c r="B34" s="7">
        <f>INDEX(Reglas!$M$5:$Q$15,MATCH(A34,Reglas!$K$5:$K$15,0),MATCH("SFIA "&amp;$B$10,Reglas!$M$4:$Q$4,0))</f>
        <v>2</v>
      </c>
      <c r="C34" s="10">
        <f>INDEX(Reglas!$R$5:$V$15,MATCH(A34,Reglas!$K$5:$K$15,0),MATCH("Mix "&amp;$B$10,Reglas!$R$4:$V$4,0))</f>
        <v>0.2</v>
      </c>
      <c r="D34" s="11">
        <f t="shared" si="1"/>
        <v>0</v>
      </c>
      <c r="E34" s="4">
        <f>0</f>
        <v>0</v>
      </c>
      <c r="F34" s="11">
        <f t="shared" si="2"/>
        <v>0</v>
      </c>
      <c r="G34" s="7" t="str">
        <f>INDEX(Reglas!$W$5:$W$15,MATCH(A34,Reglas!$K$5:$K$15,0))</f>
        <v>Clave cuando no hay historias detalladas.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7" t="s">
        <v>166</v>
      </c>
      <c r="B35" s="7">
        <f>INDEX(Reglas!$M$5:$Q$15,MATCH(A35,Reglas!$K$5:$K$15,0),MATCH("SFIA "&amp;$B$10,Reglas!$M$4:$Q$4,0))</f>
        <v>0</v>
      </c>
      <c r="C35" s="10">
        <f>INDEX(Reglas!$R$5:$V$15,MATCH(A35,Reglas!$K$5:$K$15,0),MATCH("Mix "&amp;$B$10,Reglas!$R$4:$V$4,0))</f>
        <v>0.1</v>
      </c>
      <c r="D35" s="11">
        <f t="shared" si="1"/>
        <v>0</v>
      </c>
      <c r="E35" s="4">
        <f>0</f>
        <v>0</v>
      </c>
      <c r="F35" s="11">
        <f t="shared" si="2"/>
        <v>0</v>
      </c>
      <c r="G35" s="7" t="str">
        <f>INDEX(Reglas!$W$5:$W$15,MATCH(A35,Reglas!$K$5:$K$15,0))</f>
        <v>Puede ser compartida según criticidad.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28.5">
      <c r="A36" s="7" t="s">
        <v>167</v>
      </c>
      <c r="B36" s="7">
        <f>INDEX(Reglas!$M$5:$Q$15,MATCH(A36,Reglas!$K$5:$K$15,0),MATCH("SFIA "&amp;$B$10,Reglas!$M$4:$Q$4,0))</f>
        <v>2</v>
      </c>
      <c r="C36" s="10">
        <f>INDEX(Reglas!$R$5:$V$15,MATCH(A36,Reglas!$K$5:$K$15,0),MATCH("Mix "&amp;$B$10,Reglas!$R$4:$V$4,0))</f>
        <v>0.25</v>
      </c>
      <c r="D36" s="11">
        <f t="shared" si="1"/>
        <v>0</v>
      </c>
      <c r="E36" s="4">
        <f>0</f>
        <v>0</v>
      </c>
      <c r="F36" s="11">
        <f t="shared" si="2"/>
        <v>0</v>
      </c>
      <c r="G36" s="7" t="str">
        <f>INDEX(Reglas!$W$5:$W$15,MATCH(A36,Reglas!$K$5:$K$15,0))</f>
        <v>Alta relevancia en iniciativas financieras y transversales.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7" t="s">
        <v>168</v>
      </c>
      <c r="B37" s="7">
        <f>INDEX(Reglas!$M$5:$Q$15,MATCH(A37,Reglas!$K$5:$K$15,0),MATCH("SFIA "&amp;$B$10,Reglas!$M$4:$Q$4,0))</f>
        <v>0</v>
      </c>
      <c r="C37" s="10">
        <f>INDEX(Reglas!$R$5:$V$15,MATCH(A37,Reglas!$K$5:$K$15,0),MATCH("Mix "&amp;$B$10,Reglas!$R$4:$V$4,0))</f>
        <v>0</v>
      </c>
      <c r="D37" s="11">
        <f t="shared" si="1"/>
        <v>0</v>
      </c>
      <c r="E37" s="4">
        <f>0</f>
        <v>0</v>
      </c>
      <c r="F37" s="11">
        <f t="shared" si="2"/>
        <v>0</v>
      </c>
      <c r="G37" s="7" t="str">
        <f>INDEX(Reglas!$W$5:$W$15,MATCH(A37,Reglas!$K$5:$K$15,0))</f>
        <v>Aplicar si impacta App, web o portales.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28.5">
      <c r="A38" s="7" t="s">
        <v>169</v>
      </c>
      <c r="B38" s="7">
        <f>INDEX(Reglas!$M$5:$Q$15,MATCH(A38,Reglas!$K$5:$K$15,0),MATCH("SFIA "&amp;$B$10,Reglas!$M$4:$Q$4,0))</f>
        <v>2</v>
      </c>
      <c r="C38" s="10">
        <f>INDEX(Reglas!$R$5:$V$15,MATCH(A38,Reglas!$K$5:$K$15,0),MATCH("Mix "&amp;$B$10,Reglas!$R$4:$V$4,0))</f>
        <v>0.15</v>
      </c>
      <c r="D38" s="11">
        <f t="shared" si="1"/>
        <v>0</v>
      </c>
      <c r="E38" s="4">
        <f>0</f>
        <v>0</v>
      </c>
      <c r="F38" s="11">
        <f t="shared" si="2"/>
        <v>0</v>
      </c>
      <c r="G38" s="7" t="str">
        <f>INDEX(Reglas!$W$5:$W$15,MATCH(A38,Reglas!$K$5:$K$15,0))</f>
        <v>Aumentar en flujos críticos, cartera, pagos o crédito.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28.5">
      <c r="A39" s="7" t="s">
        <v>170</v>
      </c>
      <c r="B39" s="7">
        <f>INDEX(Reglas!$M$5:$Q$15,MATCH(A39,Reglas!$K$5:$K$15,0),MATCH("SFIA "&amp;$B$10,Reglas!$M$4:$Q$4,0))</f>
        <v>0</v>
      </c>
      <c r="C39" s="10">
        <f>INDEX(Reglas!$R$5:$V$15,MATCH(A39,Reglas!$K$5:$K$15,0),MATCH("Mix "&amp;$B$10,Reglas!$R$4:$V$4,0))</f>
        <v>0</v>
      </c>
      <c r="D39" s="11">
        <f t="shared" si="1"/>
        <v>0</v>
      </c>
      <c r="E39" s="4">
        <f>0</f>
        <v>0</v>
      </c>
      <c r="F39" s="11">
        <f t="shared" si="2"/>
        <v>0</v>
      </c>
      <c r="G39" s="7" t="str">
        <f>INDEX(Reglas!$W$5:$W$15,MATCH(A39,Reglas!$K$5:$K$15,0))</f>
        <v>Aumentar si hay datos sensibles, internet o riesgo regulatorio.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28.5">
      <c r="A40" s="7" t="s">
        <v>171</v>
      </c>
      <c r="B40" s="7">
        <f>INDEX(Reglas!$M$5:$Q$15,MATCH(A40,Reglas!$K$5:$K$15,0),MATCH("SFIA "&amp;$B$10,Reglas!$M$4:$Q$4,0))</f>
        <v>2</v>
      </c>
      <c r="C40" s="10">
        <f>INDEX(Reglas!$R$5:$V$15,MATCH(A40,Reglas!$K$5:$K$15,0),MATCH("Mix "&amp;$B$10,Reglas!$R$4:$V$4,0))</f>
        <v>0.05</v>
      </c>
      <c r="D40" s="11">
        <f t="shared" si="1"/>
        <v>0</v>
      </c>
      <c r="E40" s="4">
        <f>0</f>
        <v>0</v>
      </c>
      <c r="F40" s="11">
        <f t="shared" si="2"/>
        <v>0</v>
      </c>
      <c r="G40" s="7" t="str">
        <f>INDEX(Reglas!$W$5:$W$15,MATCH(A40,Reglas!$K$5:$K$15,0))</f>
        <v>Puede ser compartida si existe plataforma madura.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28.5">
      <c r="A41" s="7" t="s">
        <v>172</v>
      </c>
      <c r="B41" s="7">
        <f>INDEX(Reglas!$M$5:$Q$15,MATCH(A41,Reglas!$K$5:$K$15,0),MATCH("SFIA "&amp;$B$10,Reglas!$M$4:$Q$4,0))</f>
        <v>0</v>
      </c>
      <c r="C41" s="10">
        <f>INDEX(Reglas!$R$5:$V$15,MATCH(A41,Reglas!$K$5:$K$15,0),MATCH("Mix "&amp;$B$10,Reglas!$R$4:$V$4,0))</f>
        <v>0</v>
      </c>
      <c r="D41" s="11">
        <f t="shared" si="1"/>
        <v>0</v>
      </c>
      <c r="E41" s="4">
        <f>0</f>
        <v>0</v>
      </c>
      <c r="F41" s="11">
        <f t="shared" si="2"/>
        <v>0</v>
      </c>
      <c r="G41" s="7" t="str">
        <f>INDEX(Reglas!$W$5:$W$15,MATCH(A41,Reglas!$K$5:$K$15,0))</f>
        <v>Aplica en analítica, reportes, integraciones o migración.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7" t="s">
        <v>173</v>
      </c>
      <c r="B42" s="7">
        <f>INDEX(Reglas!$M$5:$Q$15,MATCH(A42,Reglas!$K$5:$K$15,0),MATCH("SFIA "&amp;$B$10,Reglas!$M$4:$Q$4,0))</f>
        <v>0</v>
      </c>
      <c r="C42" s="10">
        <f>INDEX(Reglas!$R$5:$V$15,MATCH(A42,Reglas!$K$5:$K$15,0),MATCH("Mix "&amp;$B$10,Reglas!$R$4:$V$4,0))</f>
        <v>0</v>
      </c>
      <c r="D42" s="11">
        <f t="shared" si="1"/>
        <v>0</v>
      </c>
      <c r="E42" s="4">
        <f>0</f>
        <v>0</v>
      </c>
      <c r="F42" s="11">
        <f t="shared" si="2"/>
        <v>0</v>
      </c>
      <c r="G42" s="7" t="str">
        <f>INDEX(Reglas!$W$5:$W$15,MATCH(A42,Reglas!$K$5:$K$15,0))</f>
        <v>Aplicar en canales de cliente/aliado.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7" t="s">
        <v>174</v>
      </c>
      <c r="B43" s="7">
        <f>INDEX(Reglas!$M$5:$Q$15,MATCH(A43,Reglas!$K$5:$K$15,0),MATCH("SFIA "&amp;$B$10,Reglas!$M$4:$Q$4,0))</f>
        <v>0</v>
      </c>
      <c r="C43" s="10">
        <f>INDEX(Reglas!$R$5:$V$15,MATCH(A43,Reglas!$K$5:$K$15,0),MATCH("Mix "&amp;$B$10,Reglas!$R$4:$V$4,0))</f>
        <v>0.05</v>
      </c>
      <c r="D43" s="11">
        <f t="shared" si="1"/>
        <v>0</v>
      </c>
      <c r="E43" s="4">
        <f>0</f>
        <v>0</v>
      </c>
      <c r="F43" s="11">
        <f t="shared" si="2"/>
        <v>0</v>
      </c>
      <c r="G43" s="7" t="str">
        <f>INDEX(Reglas!$W$5:$W$15,MATCH(A43,Reglas!$K$5:$K$15,0))</f>
        <v>Relevante para servicios críticos o 7x24.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7"/>
      <c r="B44" s="7"/>
      <c r="C44" s="7"/>
      <c r="D44" s="7"/>
      <c r="E44" s="7"/>
      <c r="F44" s="7"/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5">
      <c r="A45" s="1" t="s">
        <v>175</v>
      </c>
      <c r="B45" s="1"/>
      <c r="C45" s="5">
        <f>SUM(C33:C43)</f>
        <v>1</v>
      </c>
      <c r="D45" s="6">
        <f>SUM(D33:D43)</f>
        <v>0</v>
      </c>
      <c r="E45" s="6">
        <f>SUM(E33:E43)</f>
        <v>0</v>
      </c>
      <c r="F45" s="6">
        <f>SUM(F33:F43)</f>
        <v>0</v>
      </c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4">
    <mergeCell ref="A1:H1"/>
    <mergeCell ref="A3:D3"/>
    <mergeCell ref="A20:E20"/>
    <mergeCell ref="A31:G31"/>
  </mergeCells>
  <conditionalFormatting sqref="B9">
    <cfRule type="colorScale" priority="2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D22:D28">
    <cfRule type="dataBar" priority="1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{5BC1C622-E9B3-D78F-CED2-4B9918EE34D7}</x14:id>
        </ext>
      </extLst>
    </cfRule>
  </conditionalFormatting>
  <conditionalFormatting sqref="F33:F43">
    <cfRule type="dataBar" priority="3">
      <dataBar>
        <cfvo type="min"/>
        <cfvo type="max"/>
        <color rgb="FF70AD47"/>
      </dataBar>
    </cfRule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{0AE282F4-5403-D17A-18B5-D98EDFBB1AD7}</x14:id>
        </ext>
      </extLst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C1C622-E9B3-D78F-CED2-4B9918EE34D7}">
            <x14:dataBar>
              <x14:cfvo type="min"/>
              <x14:cfvo type="max"/>
              <x14:negativeFillColor auto="1"/>
              <x14:axisColor auto="1"/>
            </x14:dataBar>
          </x14:cfRule>
          <xm:sqref>D22:D28</xm:sqref>
        </x14:conditionalFormatting>
        <x14:conditionalFormatting xmlns:xm="http://schemas.microsoft.com/office/excel/2006/main">
          <x14:cfRule type="dataBar" id="{0AE282F4-5403-D17A-18B5-D98EDFBB1AD7}">
            <x14:dataBar>
              <x14:cfvo type="min"/>
              <x14:cfvo type="max"/>
              <x14:negativeFillColor auto="1"/>
              <x14:axisColor auto="1"/>
            </x14:dataBar>
          </x14:cfRule>
          <xm:sqref>F33:F43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7"/>
  <sheetViews>
    <sheetView workbookViewId="0"/>
  </sheetViews>
  <sheetFormatPr defaultRowHeight="14.25"/>
  <cols>
    <col min="1" max="1" width="30" customWidth="1"/>
    <col min="2" max="2" width="48" customWidth="1"/>
    <col min="4" max="8" width="10" customWidth="1"/>
    <col min="9" max="9" width="42" customWidth="1"/>
    <col min="10" max="10" width="46" customWidth="1"/>
    <col min="11" max="11" width="32" customWidth="1"/>
    <col min="12" max="12" width="48" customWidth="1"/>
    <col min="13" max="22" width="9" customWidth="1"/>
    <col min="23" max="23" width="46" customWidth="1"/>
  </cols>
  <sheetData>
    <row r="1" spans="1:23" ht="27.95" customHeight="1">
      <c r="A1" s="14" t="s">
        <v>176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30" ht="15">
      <c r="A3" s="1" t="s">
        <v>177</v>
      </c>
      <c r="B3" s="1" t="s">
        <v>59</v>
      </c>
      <c r="C3" s="7"/>
      <c r="D3" s="15" t="s">
        <v>178</v>
      </c>
      <c r="E3" s="16"/>
      <c r="F3" s="16"/>
      <c r="G3" s="16"/>
      <c r="H3" s="16"/>
      <c r="I3" s="16"/>
      <c r="J3" s="16"/>
      <c r="K3" s="15" t="s">
        <v>179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Y3" s="1" t="inlineStr">
        <is>
          <t xml:space="preserve">Opciones I1 (sistemas internos)</t>
        </is>
      </c>
      <c r="Z3" s="1" t="inlineStr">
        <is>
          <t xml:space="preserve">Opciones I2 (terceros)</t>
        </is>
      </c>
      <c r="AA3" s="1" t="inlineStr">
        <is>
          <t xml:space="preserve">Opciones I3 (APIs/integraciones)</t>
        </is>
      </c>
      <c r="AB3" s="1" t="inlineStr">
        <is>
          <t xml:space="preserve">Opciones I4 (equipos externos)</t>
        </is>
      </c>
      <c r="AC3" s="1" t="inlineStr">
        <is>
          <t xml:space="preserve">Opciones N4 (áreas)</t>
        </is>
      </c>
      <c r="AD3" s="1" t="inlineStr">
        <is>
          <t xml:space="preserve">Opciones F2 (canales)</t>
        </is>
      </c>
    </row>
    <row r="4" spans="1:30" ht="15">
      <c r="A4" s="7" t="s">
        <v>180</v>
      </c>
      <c r="B4" s="7">
        <v>0</v>
      </c>
      <c r="C4" s="7"/>
      <c r="D4" s="1" t="s">
        <v>181</v>
      </c>
      <c r="E4" s="1" t="s">
        <v>182</v>
      </c>
      <c r="F4" s="1" t="s">
        <v>183</v>
      </c>
      <c r="G4" s="1" t="s">
        <v>184</v>
      </c>
      <c r="H4" s="1" t="s">
        <v>185</v>
      </c>
      <c r="I4" s="1" t="s">
        <v>186</v>
      </c>
      <c r="J4" s="1" t="s">
        <v>152</v>
      </c>
      <c r="K4" s="1" t="s">
        <v>158</v>
      </c>
      <c r="L4" s="1" t="s">
        <v>187</v>
      </c>
      <c r="M4" s="1" t="s">
        <v>188</v>
      </c>
      <c r="N4" s="1" t="s">
        <v>189</v>
      </c>
      <c r="O4" s="1" t="s">
        <v>190</v>
      </c>
      <c r="P4" s="1" t="s">
        <v>191</v>
      </c>
      <c r="Q4" s="1" t="s">
        <v>192</v>
      </c>
      <c r="R4" s="1" t="s">
        <v>193</v>
      </c>
      <c r="S4" s="1" t="s">
        <v>194</v>
      </c>
      <c r="T4" s="1" t="s">
        <v>195</v>
      </c>
      <c r="U4" s="1" t="s">
        <v>196</v>
      </c>
      <c r="V4" s="1" t="s">
        <v>197</v>
      </c>
      <c r="W4" s="1" t="s">
        <v>42</v>
      </c>
      <c r="Y4" t="inlineStr">
        <is>
          <t xml:space="preserve">0 - Ninguno</t>
        </is>
      </c>
      <c r="Z4" t="inlineStr">
        <is>
          <t xml:space="preserve">0 - Ninguno</t>
        </is>
      </c>
      <c r="AA4" t="inlineStr">
        <is>
          <t xml:space="preserve">0 - Ninguna</t>
        </is>
      </c>
      <c r="AB4" t="inlineStr">
        <is>
          <t xml:space="preserve">0 - Ninguno</t>
        </is>
      </c>
      <c r="AC4" t="inlineStr">
        <is>
          <t xml:space="preserve">0 - Ninguna / solo la célula</t>
        </is>
      </c>
      <c r="AD4" t="inlineStr">
        <is>
          <t xml:space="preserve">0 - Ninguno</t>
        </is>
      </c>
    </row>
    <row r="5" spans="1:30" ht="28.5">
      <c r="A5" s="7" t="s">
        <v>198</v>
      </c>
      <c r="B5" s="7">
        <v>1</v>
      </c>
      <c r="C5" s="7"/>
      <c r="D5" s="12">
        <v>0</v>
      </c>
      <c r="E5" s="12">
        <v>20</v>
      </c>
      <c r="F5" s="7" t="s">
        <v>199</v>
      </c>
      <c r="G5" s="12">
        <v>1</v>
      </c>
      <c r="H5" s="12">
        <v>3</v>
      </c>
      <c r="I5" s="7" t="s">
        <v>200</v>
      </c>
      <c r="J5" s="7" t="s">
        <v>201</v>
      </c>
      <c r="K5" s="7" t="s">
        <v>164</v>
      </c>
      <c r="L5" s="7" t="s">
        <v>202</v>
      </c>
      <c r="M5" s="7">
        <v>3</v>
      </c>
      <c r="N5" s="7">
        <v>3</v>
      </c>
      <c r="O5" s="7">
        <v>4</v>
      </c>
      <c r="P5" s="7">
        <v>4</v>
      </c>
      <c r="Q5" s="7">
        <v>5</v>
      </c>
      <c r="R5" s="10">
        <v>0.2</v>
      </c>
      <c r="S5" s="10">
        <v>0.15</v>
      </c>
      <c r="T5" s="10">
        <v>0.12</v>
      </c>
      <c r="U5" s="10">
        <v>0.1</v>
      </c>
      <c r="V5" s="10">
        <v>0.08</v>
      </c>
      <c r="W5" s="7" t="s">
        <v>203</v>
      </c>
      <c r="Y5" t="inlineStr">
        <is>
          <t xml:space="preserve">1 - 1 a 2 sistemas</t>
        </is>
      </c>
      <c r="Z5" t="inlineStr">
        <is>
          <t xml:space="preserve">1 - 1 tercero</t>
        </is>
      </c>
      <c r="AA5" t="inlineStr">
        <is>
          <t xml:space="preserve">1 - 1 a 2</t>
        </is>
      </c>
      <c r="AB5" t="inlineStr">
        <is>
          <t xml:space="preserve">1 - 1 equipo</t>
        </is>
      </c>
      <c r="AC5" t="inlineStr">
        <is>
          <t xml:space="preserve">1 - 1 área</t>
        </is>
      </c>
      <c r="AD5" t="inlineStr">
        <is>
          <t xml:space="preserve">1 - 1 canal</t>
        </is>
      </c>
    </row>
    <row r="6" spans="1:30" ht="28.5">
      <c r="A6" s="7" t="s">
        <v>204</v>
      </c>
      <c r="B6" s="7">
        <v>2</v>
      </c>
      <c r="C6" s="7"/>
      <c r="D6" s="12">
        <v>21</v>
      </c>
      <c r="E6" s="12">
        <v>35</v>
      </c>
      <c r="F6" s="7" t="s">
        <v>205</v>
      </c>
      <c r="G6" s="12">
        <v>3</v>
      </c>
      <c r="H6" s="12">
        <v>8</v>
      </c>
      <c r="I6" s="7" t="s">
        <v>206</v>
      </c>
      <c r="J6" s="7" t="s">
        <v>207</v>
      </c>
      <c r="K6" s="7" t="s">
        <v>165</v>
      </c>
      <c r="L6" s="7" t="s">
        <v>208</v>
      </c>
      <c r="M6" s="7">
        <v>2</v>
      </c>
      <c r="N6" s="7">
        <v>3</v>
      </c>
      <c r="O6" s="7">
        <v>3</v>
      </c>
      <c r="P6" s="7">
        <v>4</v>
      </c>
      <c r="Q6" s="7">
        <v>4</v>
      </c>
      <c r="R6" s="10">
        <v>0.2</v>
      </c>
      <c r="S6" s="10">
        <v>0.15</v>
      </c>
      <c r="T6" s="10">
        <v>0.14000000000000001</v>
      </c>
      <c r="U6" s="10">
        <v>0.12</v>
      </c>
      <c r="V6" s="10">
        <v>0.1</v>
      </c>
      <c r="W6" s="7" t="s">
        <v>209</v>
      </c>
      <c r="Y6" t="inlineStr">
        <is>
          <t xml:space="preserve">2 - 3 a 5 sistemas</t>
        </is>
      </c>
      <c r="Z6" t="inlineStr">
        <is>
          <t xml:space="preserve">2 - 2 terceros</t>
        </is>
      </c>
      <c r="AA6" t="inlineStr">
        <is>
          <t xml:space="preserve">2 - 3 a 5</t>
        </is>
      </c>
      <c r="AB6" t="inlineStr">
        <is>
          <t xml:space="preserve">2 - 2 equipos</t>
        </is>
      </c>
      <c r="AC6" t="inlineStr">
        <is>
          <t xml:space="preserve">2 - 2 áreas</t>
        </is>
      </c>
      <c r="AD6" t="inlineStr">
        <is>
          <t xml:space="preserve">2 - 2 canales</t>
        </is>
      </c>
    </row>
    <row r="7" spans="1:30" ht="28.5">
      <c r="A7" s="7" t="s">
        <v>210</v>
      </c>
      <c r="B7" s="7">
        <v>3</v>
      </c>
      <c r="C7" s="7"/>
      <c r="D7" s="12">
        <v>36</v>
      </c>
      <c r="E7" s="12">
        <v>50</v>
      </c>
      <c r="F7" s="7" t="s">
        <v>211</v>
      </c>
      <c r="G7" s="12">
        <v>8</v>
      </c>
      <c r="H7" s="12">
        <v>16</v>
      </c>
      <c r="I7" s="7" t="s">
        <v>212</v>
      </c>
      <c r="J7" s="7" t="s">
        <v>213</v>
      </c>
      <c r="K7" s="7" t="s">
        <v>166</v>
      </c>
      <c r="L7" s="7" t="s">
        <v>214</v>
      </c>
      <c r="M7" s="7">
        <v>0</v>
      </c>
      <c r="N7" s="7">
        <v>4</v>
      </c>
      <c r="O7" s="7">
        <v>4</v>
      </c>
      <c r="P7" s="7">
        <v>5</v>
      </c>
      <c r="Q7" s="7">
        <v>5</v>
      </c>
      <c r="R7" s="10">
        <v>0.1</v>
      </c>
      <c r="S7" s="10">
        <v>0.08</v>
      </c>
      <c r="T7" s="10">
        <v>0.08</v>
      </c>
      <c r="U7" s="10">
        <v>0.08</v>
      </c>
      <c r="V7" s="10">
        <v>0.08</v>
      </c>
      <c r="W7" s="7" t="s">
        <v>215</v>
      </c>
      <c r="Y7" t="inlineStr">
        <is>
          <t xml:space="preserve">3 - 6 a 10 sistemas</t>
        </is>
      </c>
      <c r="Z7" t="inlineStr">
        <is>
          <t xml:space="preserve">3 - 3 a 4 terceros</t>
        </is>
      </c>
      <c r="AA7" t="inlineStr">
        <is>
          <t xml:space="preserve">3 - 6 a 10</t>
        </is>
      </c>
      <c r="AB7" t="inlineStr">
        <is>
          <t xml:space="preserve">3 - 3 equipos</t>
        </is>
      </c>
      <c r="AC7" t="inlineStr">
        <is>
          <t xml:space="preserve">3 - 3 a 4 áreas</t>
        </is>
      </c>
      <c r="AD7" t="inlineStr">
        <is>
          <t xml:space="preserve">3 - 3 canales</t>
        </is>
      </c>
    </row>
    <row r="8" spans="1:30" ht="28.5">
      <c r="A8" s="7" t="s">
        <v>216</v>
      </c>
      <c r="B8" s="7">
        <v>4</v>
      </c>
      <c r="C8" s="7"/>
      <c r="D8" s="12">
        <v>51</v>
      </c>
      <c r="E8" s="12">
        <v>70</v>
      </c>
      <c r="F8" s="7" t="s">
        <v>217</v>
      </c>
      <c r="G8" s="12">
        <v>16</v>
      </c>
      <c r="H8" s="12">
        <v>32</v>
      </c>
      <c r="I8" s="7" t="s">
        <v>218</v>
      </c>
      <c r="J8" s="7" t="s">
        <v>219</v>
      </c>
      <c r="K8" s="7" t="s">
        <v>167</v>
      </c>
      <c r="L8" s="7" t="s">
        <v>220</v>
      </c>
      <c r="M8" s="7">
        <v>2</v>
      </c>
      <c r="N8" s="7">
        <v>3</v>
      </c>
      <c r="O8" s="7">
        <v>3</v>
      </c>
      <c r="P8" s="7">
        <v>4</v>
      </c>
      <c r="Q8" s="7">
        <v>4</v>
      </c>
      <c r="R8" s="10">
        <v>0.25</v>
      </c>
      <c r="S8" s="10">
        <v>0.3</v>
      </c>
      <c r="T8" s="10">
        <v>0.3</v>
      </c>
      <c r="U8" s="10">
        <v>0.28000000000000003</v>
      </c>
      <c r="V8" s="10">
        <v>0.25</v>
      </c>
      <c r="W8" s="7" t="s">
        <v>221</v>
      </c>
      <c r="Y8" t="inlineStr">
        <is>
          <t xml:space="preserve">4 - Más de 10 sistemas</t>
        </is>
      </c>
      <c r="Z8" t="inlineStr">
        <is>
          <t xml:space="preserve">4 - 5 o más terceros</t>
        </is>
      </c>
      <c r="AA8" t="inlineStr">
        <is>
          <t xml:space="preserve">4 - Más de 10</t>
        </is>
      </c>
      <c r="AB8" t="inlineStr">
        <is>
          <t xml:space="preserve">4 - 4 o más equipos</t>
        </is>
      </c>
      <c r="AC8" t="inlineStr">
        <is>
          <t xml:space="preserve">4 - 5 o más áreas</t>
        </is>
      </c>
      <c r="AD8" t="inlineStr">
        <is>
          <t xml:space="preserve">4 - 4 o más canales</t>
        </is>
      </c>
    </row>
    <row r="9" spans="1:23" ht="28.5">
      <c r="A9" s="7"/>
      <c r="B9" s="7"/>
      <c r="C9" s="7"/>
      <c r="D9" s="12">
        <v>71</v>
      </c>
      <c r="E9" s="12">
        <v>100</v>
      </c>
      <c r="F9" s="7" t="s">
        <v>222</v>
      </c>
      <c r="G9" s="12">
        <v>32</v>
      </c>
      <c r="H9" s="12">
        <v>64</v>
      </c>
      <c r="I9" s="7" t="s">
        <v>223</v>
      </c>
      <c r="J9" s="7" t="s">
        <v>224</v>
      </c>
      <c r="K9" s="7" t="s">
        <v>168</v>
      </c>
      <c r="L9" s="7" t="s">
        <v>225</v>
      </c>
      <c r="M9" s="7">
        <v>0</v>
      </c>
      <c r="N9" s="7">
        <v>3</v>
      </c>
      <c r="O9" s="7">
        <v>3</v>
      </c>
      <c r="P9" s="7">
        <v>4</v>
      </c>
      <c r="Q9" s="7">
        <v>4</v>
      </c>
      <c r="R9" s="10">
        <v>0</v>
      </c>
      <c r="S9" s="10">
        <v>0.1</v>
      </c>
      <c r="T9" s="10">
        <v>0.12</v>
      </c>
      <c r="U9" s="10">
        <v>0.14000000000000001</v>
      </c>
      <c r="V9" s="10">
        <v>0.15</v>
      </c>
      <c r="W9" s="7" t="s">
        <v>226</v>
      </c>
    </row>
    <row r="10" spans="1:23" ht="28.5">
      <c r="A10" s="1" t="s">
        <v>47</v>
      </c>
      <c r="B10" s="1" t="s">
        <v>187</v>
      </c>
      <c r="C10" s="7"/>
      <c r="D10" s="7"/>
      <c r="E10" s="7"/>
      <c r="F10" s="7"/>
      <c r="G10" s="7"/>
      <c r="H10" s="7"/>
      <c r="I10" s="7"/>
      <c r="J10" s="7"/>
      <c r="K10" s="7" t="s">
        <v>169</v>
      </c>
      <c r="L10" s="7" t="s">
        <v>227</v>
      </c>
      <c r="M10" s="7">
        <v>2</v>
      </c>
      <c r="N10" s="7">
        <v>3</v>
      </c>
      <c r="O10" s="7">
        <v>3</v>
      </c>
      <c r="P10" s="7">
        <v>4</v>
      </c>
      <c r="Q10" s="7">
        <v>4</v>
      </c>
      <c r="R10" s="10">
        <v>0.15</v>
      </c>
      <c r="S10" s="10">
        <v>0.12</v>
      </c>
      <c r="T10" s="10">
        <v>0.12</v>
      </c>
      <c r="U10" s="10">
        <v>0.13</v>
      </c>
      <c r="V10" s="10">
        <v>0.14000000000000001</v>
      </c>
      <c r="W10" s="7" t="s">
        <v>228</v>
      </c>
    </row>
    <row r="11" spans="1:23" ht="28.5">
      <c r="A11" s="7" t="s">
        <v>229</v>
      </c>
      <c r="B11" s="7" t="s">
        <v>230</v>
      </c>
      <c r="C11" s="7"/>
      <c r="D11" s="7"/>
      <c r="E11" s="7"/>
      <c r="F11" s="7"/>
      <c r="G11" s="7"/>
      <c r="H11" s="7"/>
      <c r="I11" s="7"/>
      <c r="J11" s="7"/>
      <c r="K11" s="7" t="s">
        <v>170</v>
      </c>
      <c r="L11" s="7" t="s">
        <v>231</v>
      </c>
      <c r="M11" s="7">
        <v>0</v>
      </c>
      <c r="N11" s="7">
        <v>3</v>
      </c>
      <c r="O11" s="7">
        <v>4</v>
      </c>
      <c r="P11" s="7">
        <v>4</v>
      </c>
      <c r="Q11" s="7">
        <v>5</v>
      </c>
      <c r="R11" s="10">
        <v>0</v>
      </c>
      <c r="S11" s="10">
        <v>0.03</v>
      </c>
      <c r="T11" s="10">
        <v>0.04</v>
      </c>
      <c r="U11" s="10">
        <v>0.05</v>
      </c>
      <c r="V11" s="10">
        <v>0.06</v>
      </c>
      <c r="W11" s="7" t="s">
        <v>232</v>
      </c>
    </row>
    <row r="12" spans="1:23" ht="28.5">
      <c r="A12" s="7" t="s">
        <v>233</v>
      </c>
      <c r="B12" s="7" t="s">
        <v>234</v>
      </c>
      <c r="C12" s="7"/>
      <c r="D12" s="7"/>
      <c r="E12" s="7"/>
      <c r="F12" s="7"/>
      <c r="G12" s="7"/>
      <c r="H12" s="7"/>
      <c r="I12" s="7"/>
      <c r="J12" s="7"/>
      <c r="K12" s="7" t="s">
        <v>171</v>
      </c>
      <c r="L12" s="7" t="s">
        <v>235</v>
      </c>
      <c r="M12" s="7">
        <v>2</v>
      </c>
      <c r="N12" s="7">
        <v>3</v>
      </c>
      <c r="O12" s="7">
        <v>3</v>
      </c>
      <c r="P12" s="7">
        <v>4</v>
      </c>
      <c r="Q12" s="7">
        <v>4</v>
      </c>
      <c r="R12" s="10">
        <v>0.05</v>
      </c>
      <c r="S12" s="10">
        <v>0.05</v>
      </c>
      <c r="T12" s="10">
        <v>0.04</v>
      </c>
      <c r="U12" s="10">
        <v>0.04</v>
      </c>
      <c r="V12" s="10">
        <v>0.05</v>
      </c>
      <c r="W12" s="7" t="s">
        <v>236</v>
      </c>
    </row>
    <row r="13" spans="1:23" ht="28.5">
      <c r="A13" s="7" t="s">
        <v>237</v>
      </c>
      <c r="B13" s="7" t="s">
        <v>238</v>
      </c>
      <c r="C13" s="7"/>
      <c r="D13" s="7"/>
      <c r="E13" s="7"/>
      <c r="F13" s="7"/>
      <c r="G13" s="7"/>
      <c r="H13" s="7"/>
      <c r="I13" s="7"/>
      <c r="J13" s="7"/>
      <c r="K13" s="7" t="s">
        <v>172</v>
      </c>
      <c r="L13" s="7" t="s">
        <v>239</v>
      </c>
      <c r="M13" s="7">
        <v>0</v>
      </c>
      <c r="N13" s="7">
        <v>0</v>
      </c>
      <c r="O13" s="7">
        <v>3</v>
      </c>
      <c r="P13" s="7">
        <v>4</v>
      </c>
      <c r="Q13" s="7">
        <v>4</v>
      </c>
      <c r="R13" s="10">
        <v>0</v>
      </c>
      <c r="S13" s="10">
        <v>0</v>
      </c>
      <c r="T13" s="10">
        <v>0.02</v>
      </c>
      <c r="U13" s="10">
        <v>0.03</v>
      </c>
      <c r="V13" s="10">
        <v>0.04</v>
      </c>
      <c r="W13" s="7" t="s">
        <v>240</v>
      </c>
    </row>
    <row r="14" spans="1:23" ht="28.5">
      <c r="A14" s="7" t="s">
        <v>241</v>
      </c>
      <c r="B14" s="7" t="s">
        <v>242</v>
      </c>
      <c r="C14" s="7"/>
      <c r="D14" s="7"/>
      <c r="E14" s="7"/>
      <c r="F14" s="7"/>
      <c r="G14" s="7"/>
      <c r="H14" s="7"/>
      <c r="I14" s="7"/>
      <c r="J14" s="7"/>
      <c r="K14" s="7" t="s">
        <v>173</v>
      </c>
      <c r="L14" s="7" t="s">
        <v>243</v>
      </c>
      <c r="M14" s="7">
        <v>0</v>
      </c>
      <c r="N14" s="7">
        <v>2</v>
      </c>
      <c r="O14" s="7">
        <v>3</v>
      </c>
      <c r="P14" s="7">
        <v>3</v>
      </c>
      <c r="Q14" s="7">
        <v>4</v>
      </c>
      <c r="R14" s="10">
        <v>0</v>
      </c>
      <c r="S14" s="10">
        <v>0.02</v>
      </c>
      <c r="T14" s="10">
        <v>0.02</v>
      </c>
      <c r="U14" s="10">
        <v>0.02</v>
      </c>
      <c r="V14" s="10">
        <v>0.03</v>
      </c>
      <c r="W14" s="7" t="s">
        <v>244</v>
      </c>
    </row>
    <row r="15" spans="1:23" ht="28.5">
      <c r="A15" s="7" t="s">
        <v>245</v>
      </c>
      <c r="B15" s="7" t="s">
        <v>246</v>
      </c>
      <c r="C15" s="7"/>
      <c r="D15" s="7"/>
      <c r="E15" s="7"/>
      <c r="F15" s="7"/>
      <c r="G15" s="7"/>
      <c r="H15" s="7"/>
      <c r="I15" s="7"/>
      <c r="J15" s="7"/>
      <c r="K15" s="7" t="s">
        <v>174</v>
      </c>
      <c r="L15" s="7" t="s">
        <v>247</v>
      </c>
      <c r="M15" s="7">
        <v>0</v>
      </c>
      <c r="N15" s="7">
        <v>0</v>
      </c>
      <c r="O15" s="7">
        <v>0</v>
      </c>
      <c r="P15" s="7">
        <v>3</v>
      </c>
      <c r="Q15" s="7">
        <v>4</v>
      </c>
      <c r="R15" s="10">
        <v>0.05</v>
      </c>
      <c r="S15" s="10">
        <v>0</v>
      </c>
      <c r="T15" s="10">
        <v>0</v>
      </c>
      <c r="U15" s="10">
        <v>0.01</v>
      </c>
      <c r="V15" s="10">
        <v>0.02</v>
      </c>
      <c r="W15" s="7" t="s">
        <v>248</v>
      </c>
    </row>
    <row r="16" spans="1:23" ht="28.5">
      <c r="A16" s="7" t="s">
        <v>249</v>
      </c>
      <c r="B16" s="7" t="s">
        <v>250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10"/>
      <c r="S16" s="10"/>
      <c r="T16" s="10"/>
      <c r="U16" s="10"/>
      <c r="V16" s="10"/>
      <c r="W16" s="7"/>
    </row>
    <row r="17" spans="1:23" ht="28.5">
      <c r="A17" s="7" t="s">
        <v>251</v>
      </c>
      <c r="B17" s="7" t="s">
        <v>252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10">
        <f>SUM(R5:R15)</f>
        <v>1</v>
      </c>
      <c r="S17" s="10">
        <f>SUM(S5:S15)</f>
        <v>1</v>
      </c>
      <c r="T17" s="10">
        <f>SUM(T5:T15)</f>
        <v>1</v>
      </c>
      <c r="U17" s="10">
        <f>SUM(U5:U15)</f>
        <v>1.0000000000000002</v>
      </c>
      <c r="V17" s="10">
        <f>SUM(V5:V15)</f>
        <v>1.0000000000000002</v>
      </c>
      <c r="W17" s="7" t="s">
        <v>253</v>
      </c>
    </row>
    <row r="18" spans="1:2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3">
    <mergeCell ref="A1:W1"/>
    <mergeCell ref="D3:J3"/>
    <mergeCell ref="K3:W3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0"/>
  <sheetViews>
    <sheetView workbookViewId="0"/>
  </sheetViews>
  <sheetFormatPr defaultRowHeight="14.25"/>
  <cols>
    <col min="1" max="1" width="14" customWidth="1"/>
    <col min="2" max="2" width="30" customWidth="1"/>
    <col min="3" max="3" width="22" customWidth="1"/>
    <col min="4" max="4" width="12" customWidth="1"/>
    <col min="5" max="6" width="10" customWidth="1"/>
    <col min="7" max="7" width="16" customWidth="1"/>
    <col min="8" max="8" width="14" customWidth="1"/>
    <col min="9" max="9" width="16" customWidth="1"/>
    <col min="10" max="10" width="12" customWidth="1"/>
    <col min="11" max="11" width="18" customWidth="1"/>
    <col min="12" max="12" width="42" customWidth="1"/>
    <col min="13" max="13" width="30" customWidth="1"/>
  </cols>
  <sheetData>
    <row r="1" spans="1:23" ht="27.95" customHeight="1">
      <c r="A1" s="14" t="s">
        <v>254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30">
      <c r="A3" s="1" t="s">
        <v>255</v>
      </c>
      <c r="B3" s="1" t="s">
        <v>142</v>
      </c>
      <c r="C3" s="1" t="s">
        <v>143</v>
      </c>
      <c r="D3" s="1" t="s">
        <v>256</v>
      </c>
      <c r="E3" s="1" t="s">
        <v>184</v>
      </c>
      <c r="F3" s="1" t="s">
        <v>185</v>
      </c>
      <c r="G3" s="1" t="s">
        <v>257</v>
      </c>
      <c r="H3" s="1" t="s">
        <v>258</v>
      </c>
      <c r="I3" s="1" t="s">
        <v>259</v>
      </c>
      <c r="J3" s="1" t="s">
        <v>260</v>
      </c>
      <c r="K3" s="1" t="s">
        <v>261</v>
      </c>
      <c r="L3" s="1" t="s">
        <v>262</v>
      </c>
      <c r="M3" s="1" t="s">
        <v>263</v>
      </c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>
      <c r="A4" s="13"/>
      <c r="B4" s="7"/>
      <c r="C4" s="7"/>
      <c r="D4" s="7"/>
      <c r="E4" s="11"/>
      <c r="F4" s="11"/>
      <c r="G4" s="11"/>
      <c r="H4" s="11"/>
      <c r="I4" s="11"/>
      <c r="J4" s="11">
        <f t="shared" ref="J4:J23" si="0">IFERROR(H4-G4,"")</f>
        <v>0</v>
      </c>
      <c r="K4" s="7" t="str">
        <f t="shared" ref="K4:K23" si="1">IF(ABS(J4)&gt;=0.5,"Sí","No")</f>
        <v>No</v>
      </c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>
      <c r="A5" s="13"/>
      <c r="B5" s="7"/>
      <c r="C5" s="7"/>
      <c r="D5" s="7"/>
      <c r="E5" s="11"/>
      <c r="F5" s="11"/>
      <c r="G5" s="11"/>
      <c r="H5" s="11"/>
      <c r="I5" s="11"/>
      <c r="J5" s="11">
        <f t="shared" si="0"/>
        <v>0</v>
      </c>
      <c r="K5" s="7" t="str">
        <f t="shared" si="1"/>
        <v>No</v>
      </c>
      <c r="L5" s="7"/>
      <c r="M5" s="7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>
      <c r="A6" s="13"/>
      <c r="B6" s="7"/>
      <c r="C6" s="7"/>
      <c r="D6" s="7"/>
      <c r="E6" s="11"/>
      <c r="F6" s="11"/>
      <c r="G6" s="11"/>
      <c r="H6" s="11"/>
      <c r="I6" s="11"/>
      <c r="J6" s="11">
        <f t="shared" si="0"/>
        <v>0</v>
      </c>
      <c r="K6" s="7" t="str">
        <f t="shared" si="1"/>
        <v>No</v>
      </c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>
      <c r="A7" s="13"/>
      <c r="B7" s="7"/>
      <c r="C7" s="7"/>
      <c r="D7" s="7"/>
      <c r="E7" s="11"/>
      <c r="F7" s="11"/>
      <c r="G7" s="11"/>
      <c r="H7" s="11"/>
      <c r="I7" s="11"/>
      <c r="J7" s="11">
        <f t="shared" si="0"/>
        <v>0</v>
      </c>
      <c r="K7" s="7" t="str">
        <f t="shared" si="1"/>
        <v>No</v>
      </c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>
      <c r="A8" s="13"/>
      <c r="B8" s="7"/>
      <c r="C8" s="7"/>
      <c r="D8" s="7"/>
      <c r="E8" s="11"/>
      <c r="F8" s="11"/>
      <c r="G8" s="11"/>
      <c r="H8" s="11"/>
      <c r="I8" s="11"/>
      <c r="J8" s="11">
        <f t="shared" si="0"/>
        <v>0</v>
      </c>
      <c r="K8" s="7" t="str">
        <f t="shared" si="1"/>
        <v>No</v>
      </c>
      <c r="L8" s="7"/>
      <c r="M8" s="7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>
      <c r="A9" s="13"/>
      <c r="B9" s="7"/>
      <c r="C9" s="7"/>
      <c r="D9" s="7"/>
      <c r="E9" s="11"/>
      <c r="F9" s="11"/>
      <c r="G9" s="11"/>
      <c r="H9" s="11"/>
      <c r="I9" s="11"/>
      <c r="J9" s="11">
        <f t="shared" si="0"/>
        <v>0</v>
      </c>
      <c r="K9" s="7" t="str">
        <f t="shared" si="1"/>
        <v>No</v>
      </c>
      <c r="L9" s="7"/>
      <c r="M9" s="7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>
      <c r="A10" s="13"/>
      <c r="B10" s="7"/>
      <c r="C10" s="7"/>
      <c r="D10" s="7"/>
      <c r="E10" s="11"/>
      <c r="F10" s="11"/>
      <c r="G10" s="11"/>
      <c r="H10" s="11"/>
      <c r="I10" s="11"/>
      <c r="J10" s="11">
        <f t="shared" si="0"/>
        <v>0</v>
      </c>
      <c r="K10" s="7" t="str">
        <f t="shared" si="1"/>
        <v>No</v>
      </c>
      <c r="L10" s="7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>
      <c r="A11" s="13"/>
      <c r="B11" s="7"/>
      <c r="C11" s="7"/>
      <c r="D11" s="7"/>
      <c r="E11" s="11"/>
      <c r="F11" s="11"/>
      <c r="G11" s="11"/>
      <c r="H11" s="11"/>
      <c r="I11" s="11"/>
      <c r="J11" s="11">
        <f t="shared" si="0"/>
        <v>0</v>
      </c>
      <c r="K11" s="7" t="str">
        <f t="shared" si="1"/>
        <v>No</v>
      </c>
      <c r="L11" s="7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>
      <c r="A12" s="13"/>
      <c r="B12" s="7"/>
      <c r="C12" s="7"/>
      <c r="D12" s="7"/>
      <c r="E12" s="11"/>
      <c r="F12" s="11"/>
      <c r="G12" s="11"/>
      <c r="H12" s="11"/>
      <c r="I12" s="11"/>
      <c r="J12" s="11">
        <f t="shared" si="0"/>
        <v>0</v>
      </c>
      <c r="K12" s="7" t="str">
        <f t="shared" si="1"/>
        <v>No</v>
      </c>
      <c r="L12" s="7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>
      <c r="A13" s="13"/>
      <c r="B13" s="7"/>
      <c r="C13" s="7"/>
      <c r="D13" s="7"/>
      <c r="E13" s="11"/>
      <c r="F13" s="11"/>
      <c r="G13" s="11"/>
      <c r="H13" s="11"/>
      <c r="I13" s="11"/>
      <c r="J13" s="11">
        <f t="shared" si="0"/>
        <v>0</v>
      </c>
      <c r="K13" s="7" t="str">
        <f t="shared" si="1"/>
        <v>No</v>
      </c>
      <c r="L13" s="7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>
      <c r="A14" s="13"/>
      <c r="B14" s="7"/>
      <c r="C14" s="7"/>
      <c r="D14" s="7"/>
      <c r="E14" s="11"/>
      <c r="F14" s="11"/>
      <c r="G14" s="11"/>
      <c r="H14" s="11"/>
      <c r="I14" s="11"/>
      <c r="J14" s="11">
        <f t="shared" si="0"/>
        <v>0</v>
      </c>
      <c r="K14" s="7" t="str">
        <f t="shared" si="1"/>
        <v>No</v>
      </c>
      <c r="L14" s="7"/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>
      <c r="A15" s="13"/>
      <c r="B15" s="7"/>
      <c r="C15" s="7"/>
      <c r="D15" s="7"/>
      <c r="E15" s="11"/>
      <c r="F15" s="11"/>
      <c r="G15" s="11"/>
      <c r="H15" s="11"/>
      <c r="I15" s="11"/>
      <c r="J15" s="11">
        <f t="shared" si="0"/>
        <v>0</v>
      </c>
      <c r="K15" s="7" t="str">
        <f t="shared" si="1"/>
        <v>No</v>
      </c>
      <c r="L15" s="7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>
      <c r="A16" s="13"/>
      <c r="B16" s="7"/>
      <c r="C16" s="7"/>
      <c r="D16" s="7"/>
      <c r="E16" s="11"/>
      <c r="F16" s="11"/>
      <c r="G16" s="11"/>
      <c r="H16" s="11"/>
      <c r="I16" s="11"/>
      <c r="J16" s="11">
        <f t="shared" si="0"/>
        <v>0</v>
      </c>
      <c r="K16" s="7" t="str">
        <f t="shared" si="1"/>
        <v>No</v>
      </c>
      <c r="L16" s="7"/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>
      <c r="A17" s="13"/>
      <c r="B17" s="7"/>
      <c r="C17" s="7"/>
      <c r="D17" s="7"/>
      <c r="E17" s="11"/>
      <c r="F17" s="11"/>
      <c r="G17" s="11"/>
      <c r="H17" s="11"/>
      <c r="I17" s="11"/>
      <c r="J17" s="11">
        <f t="shared" si="0"/>
        <v>0</v>
      </c>
      <c r="K17" s="7" t="str">
        <f t="shared" si="1"/>
        <v>No</v>
      </c>
      <c r="L17" s="7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>
      <c r="A18" s="13"/>
      <c r="B18" s="7"/>
      <c r="C18" s="7"/>
      <c r="D18" s="7"/>
      <c r="E18" s="11"/>
      <c r="F18" s="11"/>
      <c r="G18" s="11"/>
      <c r="H18" s="11"/>
      <c r="I18" s="11"/>
      <c r="J18" s="11">
        <f t="shared" si="0"/>
        <v>0</v>
      </c>
      <c r="K18" s="7" t="str">
        <f t="shared" si="1"/>
        <v>No</v>
      </c>
      <c r="L18" s="7"/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13"/>
      <c r="B19" s="7"/>
      <c r="C19" s="7"/>
      <c r="D19" s="7"/>
      <c r="E19" s="11"/>
      <c r="F19" s="11"/>
      <c r="G19" s="11"/>
      <c r="H19" s="11"/>
      <c r="I19" s="11"/>
      <c r="J19" s="11">
        <f t="shared" si="0"/>
        <v>0</v>
      </c>
      <c r="K19" s="7" t="str">
        <f t="shared" si="1"/>
        <v>No</v>
      </c>
      <c r="L19" s="7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 s="13"/>
      <c r="B20" s="7"/>
      <c r="C20" s="7"/>
      <c r="D20" s="7"/>
      <c r="E20" s="11"/>
      <c r="F20" s="11"/>
      <c r="G20" s="11"/>
      <c r="H20" s="11"/>
      <c r="I20" s="11"/>
      <c r="J20" s="11">
        <f t="shared" si="0"/>
        <v>0</v>
      </c>
      <c r="K20" s="7" t="str">
        <f t="shared" si="1"/>
        <v>No</v>
      </c>
      <c r="L20" s="7"/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>
      <c r="A21" s="13"/>
      <c r="B21" s="7"/>
      <c r="C21" s="7"/>
      <c r="D21" s="7"/>
      <c r="E21" s="11"/>
      <c r="F21" s="11"/>
      <c r="G21" s="11"/>
      <c r="H21" s="11"/>
      <c r="I21" s="11"/>
      <c r="J21" s="11">
        <f t="shared" si="0"/>
        <v>0</v>
      </c>
      <c r="K21" s="7" t="str">
        <f t="shared" si="1"/>
        <v>No</v>
      </c>
      <c r="L21" s="7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>
      <c r="A22" s="13"/>
      <c r="B22" s="7"/>
      <c r="C22" s="7"/>
      <c r="D22" s="7"/>
      <c r="E22" s="11"/>
      <c r="F22" s="11"/>
      <c r="G22" s="11"/>
      <c r="H22" s="11"/>
      <c r="I22" s="11"/>
      <c r="J22" s="11">
        <f t="shared" si="0"/>
        <v>0</v>
      </c>
      <c r="K22" s="7" t="str">
        <f t="shared" si="1"/>
        <v>No</v>
      </c>
      <c r="L22" s="7"/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>
      <c r="A23" s="13"/>
      <c r="B23" s="7"/>
      <c r="C23" s="7"/>
      <c r="D23" s="7"/>
      <c r="E23" s="11"/>
      <c r="F23" s="11"/>
      <c r="G23" s="11"/>
      <c r="H23" s="11"/>
      <c r="I23" s="11"/>
      <c r="J23" s="11">
        <f t="shared" si="0"/>
        <v>0</v>
      </c>
      <c r="K23" s="7" t="str">
        <f t="shared" si="1"/>
        <v>No</v>
      </c>
      <c r="L23" s="7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1">
    <mergeCell ref="A1:M1"/>
  </mergeCells>
  <dataValidations count="1">
    <dataValidation type="list" sqref="K4:K23" xr:uid="{00000000-0002-0000-0400-000000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00"/>
  <sheetViews>
    <sheetView workbookViewId="0"/>
  </sheetViews>
  <sheetFormatPr defaultRowHeight="14.25"/>
  <cols>
    <col min="1" max="1" width="8" customWidth="1"/>
    <col min="2" max="2" width="22" customWidth="1"/>
    <col min="3" max="3" width="36" customWidth="1"/>
    <col min="4" max="4" width="32" customWidth="1"/>
    <col min="5" max="5" width="36" customWidth="1"/>
    <col min="6" max="6" width="42" customWidth="1"/>
  </cols>
  <sheetData>
    <row r="1" spans="1:23" ht="27.95" customHeight="1">
      <c r="A1" s="14" t="s">
        <v>264</v>
      </c>
      <c r="B1" s="14"/>
      <c r="C1" s="14"/>
      <c r="D1" s="14"/>
      <c r="E1" s="14"/>
      <c r="F1" s="14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5">
      <c r="A3" s="1" t="s">
        <v>156</v>
      </c>
      <c r="B3" s="1" t="s">
        <v>265</v>
      </c>
      <c r="C3" s="1" t="s">
        <v>266</v>
      </c>
      <c r="D3" s="1" t="s">
        <v>267</v>
      </c>
      <c r="E3" s="1" t="s">
        <v>268</v>
      </c>
      <c r="F3" s="1" t="s">
        <v>269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28.5">
      <c r="A4" s="7">
        <v>0</v>
      </c>
      <c r="B4" s="7" t="s">
        <v>270</v>
      </c>
      <c r="C4" s="7" t="s">
        <v>271</v>
      </c>
      <c r="D4" s="7" t="s">
        <v>272</v>
      </c>
      <c r="E4" s="7" t="s">
        <v>273</v>
      </c>
      <c r="F4" s="7" t="s">
        <v>274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>
      <c r="A5" s="7">
        <v>1</v>
      </c>
      <c r="B5" s="7" t="s">
        <v>275</v>
      </c>
      <c r="C5" s="7" t="s">
        <v>276</v>
      </c>
      <c r="D5" s="7" t="s">
        <v>277</v>
      </c>
      <c r="E5" s="7" t="s">
        <v>278</v>
      </c>
      <c r="F5" s="7" t="s">
        <v>279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>
      <c r="A6" s="7">
        <v>2</v>
      </c>
      <c r="B6" s="7" t="s">
        <v>280</v>
      </c>
      <c r="C6" s="7" t="s">
        <v>281</v>
      </c>
      <c r="D6" s="7" t="s">
        <v>282</v>
      </c>
      <c r="E6" s="7" t="s">
        <v>283</v>
      </c>
      <c r="F6" s="7" t="s">
        <v>284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28.5">
      <c r="A7" s="7">
        <v>3</v>
      </c>
      <c r="B7" s="7" t="s">
        <v>285</v>
      </c>
      <c r="C7" s="7" t="s">
        <v>286</v>
      </c>
      <c r="D7" s="7" t="s">
        <v>287</v>
      </c>
      <c r="E7" s="7" t="s">
        <v>288</v>
      </c>
      <c r="F7" s="7" t="s">
        <v>289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>
      <c r="A8" s="7">
        <v>4</v>
      </c>
      <c r="B8" s="7" t="s">
        <v>290</v>
      </c>
      <c r="C8" s="7" t="s">
        <v>291</v>
      </c>
      <c r="D8" s="7" t="s">
        <v>292</v>
      </c>
      <c r="E8" s="7" t="s">
        <v>293</v>
      </c>
      <c r="F8" s="7" t="s">
        <v>294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28.5">
      <c r="A9" s="7">
        <v>5</v>
      </c>
      <c r="B9" s="7" t="s">
        <v>295</v>
      </c>
      <c r="C9" s="7" t="s">
        <v>296</v>
      </c>
      <c r="D9" s="7" t="s">
        <v>297</v>
      </c>
      <c r="E9" s="7" t="s">
        <v>298</v>
      </c>
      <c r="F9" s="7" t="s">
        <v>299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28.5">
      <c r="A10" s="7">
        <v>6</v>
      </c>
      <c r="B10" s="7" t="s">
        <v>300</v>
      </c>
      <c r="C10" s="7" t="s">
        <v>301</v>
      </c>
      <c r="D10" s="7" t="s">
        <v>302</v>
      </c>
      <c r="E10" s="7" t="s">
        <v>303</v>
      </c>
      <c r="F10" s="7" t="s">
        <v>304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>
      <c r="A11" s="7">
        <v>7</v>
      </c>
      <c r="B11" s="7" t="s">
        <v>305</v>
      </c>
      <c r="C11" s="7" t="s">
        <v>306</v>
      </c>
      <c r="D11" s="7" t="s">
        <v>307</v>
      </c>
      <c r="E11" s="7" t="s">
        <v>308</v>
      </c>
      <c r="F11" s="7" t="s">
        <v>309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Inicio</vt:lpstr>
      <vt:lpstr>Formulario</vt:lpstr>
      <vt:lpstr>Resultados</vt:lpstr>
      <vt:lpstr>Reglas</vt:lpstr>
      <vt:lpstr>Calibracion</vt:lpstr>
      <vt:lpstr>Diccionario_SFIA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Estiben Licona</cp:lastModifiedBy>
  <dcterms:modified xsi:type="dcterms:W3CDTF">2026-06-23T19:48:56Z</dcterms:modified>
</cp:coreProperties>
</file>