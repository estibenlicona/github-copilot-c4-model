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icio" sheetId="1" state="visible" r:id="rId3"/>
    <sheet name="Triage rápido" sheetId="2" state="visible" r:id="rId4"/>
    <sheet name="Formulario" sheetId="3" state="visible" r:id="rId5"/>
    <sheet name="Resultados" sheetId="4" state="visible" r:id="rId6"/>
    <sheet name="Reglas" sheetId="5" state="visible" r:id="rId7"/>
    <sheet name="Calibracion" sheetId="6" state="visible" r:id="rId8"/>
    <sheet name="Diccionario_SFI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<sst xmlns="http://schemas.openxmlformats.org/spreadsheetml/2006/main" count="496" uniqueCount="365">
  <si>
    <t xml:space="preserve">Modelo de Dimensionamiento Temprano de Células TI</t>
  </si>
  <si>
    <t xml:space="preserve">Propósito</t>
  </si>
  <si>
    <t xml:space="preserve">Estimar la talla, el esfuerzo (PM), los FTE y las capacidades requeridas de una iniciativa en etapa temprana, previa a arquitectura detallada, historias de usuario y backlog.</t>
  </si>
  <si>
    <t xml:space="preserve">Alcance</t>
  </si>
  <si>
    <t xml:space="preserve">Orienta el staffing temprano y la planeación de capacidad. No reemplaza el discovery, la arquitectura ni la estimación detallada; sus resultados se recalibran con datos reales.</t>
  </si>
  <si>
    <t xml:space="preserve">Contenido</t>
  </si>
  <si>
    <t xml:space="preserve">Hoja</t>
  </si>
  <si>
    <t xml:space="preserve">Función</t>
  </si>
  <si>
    <t xml:space="preserve">Triage rápido</t>
  </si>
  <si>
    <t xml:space="preserve">Tamizaje para decidir si la iniciativa requiere evaluación completa.</t>
  </si>
  <si>
    <t xml:space="preserve">Formulario</t>
  </si>
  <si>
    <t xml:space="preserve">Captura y valoración de complejidad de la iniciativa.</t>
  </si>
  <si>
    <t xml:space="preserve">Resultados</t>
  </si>
  <si>
    <t xml:space="preserve">Talla, esfuerzo (PM), FTE y mix de capacidades.</t>
  </si>
  <si>
    <t xml:space="preserve">Parámetros y reglas</t>
  </si>
  <si>
    <t xml:space="preserve">Parámetros de conversión y mix de capacidades (editables).</t>
  </si>
  <si>
    <t xml:space="preserve">Calibración</t>
  </si>
  <si>
    <t xml:space="preserve">Registro de estimado vs. real para recalibración.</t>
  </si>
  <si>
    <t xml:space="preserve">Niveles SFIA</t>
  </si>
  <si>
    <t xml:space="preserve">Referencia operativa de niveles SFIA.</t>
  </si>
  <si>
    <t xml:space="preserve">Escala de valoración</t>
  </si>
  <si>
    <t xml:space="preserve">Valor</t>
  </si>
  <si>
    <t xml:space="preserve">Cualitativa (juicio)</t>
  </si>
  <si>
    <t xml:space="preserve">Cuantitativa (conteo)</t>
  </si>
  <si>
    <t xml:space="preserve">0</t>
  </si>
  <si>
    <t xml:space="preserve">Sin impacto / no aplica</t>
  </si>
  <si>
    <t xml:space="preserve">Ninguno (0)</t>
  </si>
  <si>
    <t xml:space="preserve">1</t>
  </si>
  <si>
    <t xml:space="preserve">Bajo</t>
  </si>
  <si>
    <t xml:space="preserve">Muy bajo (p. ej. 1–2)</t>
  </si>
  <si>
    <t xml:space="preserve">2</t>
  </si>
  <si>
    <t xml:space="preserve">Medio</t>
  </si>
  <si>
    <t xml:space="preserve">Moderado (p. ej. 3–5)</t>
  </si>
  <si>
    <t xml:space="preserve">3</t>
  </si>
  <si>
    <t xml:space="preserve">Alto</t>
  </si>
  <si>
    <t xml:space="preserve">Alto (p. ej. 6–10)</t>
  </si>
  <si>
    <t xml:space="preserve">4</t>
  </si>
  <si>
    <t xml:space="preserve">Crítico / muy alto</t>
  </si>
  <si>
    <t xml:space="preserve">Muy alto (más de 10)</t>
  </si>
  <si>
    <t xml:space="preserve">Las preguntas cuantitativas usan rangos numéricos propios de cada pregunta (definidos en el desplegable); los valores mostrados son orientativos. El tipo de cada pregunta —cualitativa o cuantitativa— se indica en la columna «Tipo de pregunta» del Formulario.</t>
  </si>
  <si>
    <t xml:space="preserve">Tamizaje inicial</t>
  </si>
  <si>
    <t xml:space="preserve">Determina si una iniciativa requiere la evaluación completa o puede dimensionarse por vía rápida.</t>
  </si>
  <si>
    <t xml:space="preserve">Criterios de tamizaje</t>
  </si>
  <si>
    <t xml:space="preserve">Pregunta</t>
  </si>
  <si>
    <t xml:space="preserve">Respuesta</t>
  </si>
  <si>
    <t xml:space="preserve">¿Integra o modifica sistemas internos o terceros externos?</t>
  </si>
  <si>
    <t xml:space="preserve">Sí</t>
  </si>
  <si>
    <t xml:space="preserve">¿Procesa datos personales, financieros o sensibles, o está expuesta a internet?</t>
  </si>
  <si>
    <t xml:space="preserve">¿Puede generar fraude, pérdida económica, impacto reputacional o sanción?</t>
  </si>
  <si>
    <t xml:space="preserve">¿Introduce tecnología nueva o cambia arquitectura transversal/compartida?</t>
  </si>
  <si>
    <t xml:space="preserve">¿Impacta una capacidad crítica (pagos, crédito, cartera, recaudo, originación)?</t>
  </si>
  <si>
    <t xml:space="preserve">¿El requerimiento aún es ambiguo o requiere discovery funcional o técnico?</t>
  </si>
  <si>
    <t xml:space="preserve">No</t>
  </si>
  <si>
    <t xml:space="preserve">Resultado</t>
  </si>
  <si>
    <t xml:space="preserve">Criterios afirmativos</t>
  </si>
  <si>
    <t xml:space="preserve">Señal crítica (seguridad / fraude)</t>
  </si>
  <si>
    <t xml:space="preserve">Criterios de decisión</t>
  </si>
  <si>
    <t xml:space="preserve">Vía rápida (XS–S): 1 a 3 personas, 1–8 PM. No requiere formulario completo.</t>
  </si>
  <si>
    <t xml:space="preserve">Formulario completo recomendado (S–M).</t>
  </si>
  <si>
    <t xml:space="preserve">Formulario completo obligatorio (M o superior): arquitectura, seguridad o discovery.</t>
  </si>
  <si>
    <t xml:space="preserve">Formulario de evaluación</t>
  </si>
  <si>
    <t xml:space="preserve">Campo</t>
  </si>
  <si>
    <t xml:space="preserve">Notas</t>
  </si>
  <si>
    <t xml:space="preserve">Nombre de la iniciativa</t>
  </si>
  <si>
    <t xml:space="preserve">Originación digital de crédito con terceros</t>
  </si>
  <si>
    <t xml:space="preserve">Nombre corto y reconocible.</t>
  </si>
  <si>
    <t xml:space="preserve">PASO 1  ·  Responde estas 6 preguntas</t>
  </si>
  <si>
    <t xml:space="preserve">Crédito</t>
  </si>
  <si>
    <t xml:space="preserve">Negocio, TI, operación, seguridad, etc.</t>
  </si>
  <si>
    <t xml:space="preserve">Tipo de iniciativa</t>
  </si>
  <si>
    <t xml:space="preserve">Producto financiero</t>
  </si>
  <si>
    <t xml:space="preserve">Seleccionar de la lista.</t>
  </si>
  <si>
    <t xml:space="preserve">Fecha de evaluación</t>
  </si>
  <si>
    <t xml:space="preserve">2026-06-23</t>
  </si>
  <si>
    <t xml:space="preserve">Fecha de diligenciamiento.</t>
  </si>
  <si>
    <t xml:space="preserve">Plazo objetivo (meses)</t>
  </si>
  <si>
    <t xml:space="preserve">Usado para convertir PM a FTE.</t>
  </si>
  <si>
    <t xml:space="preserve">Responsable del assessment</t>
  </si>
  <si>
    <t xml:space="preserve">Tribu Crédito</t>
  </si>
  <si>
    <t xml:space="preserve">Persona que diligencia o facilita.</t>
  </si>
  <si>
    <t xml:space="preserve">ID</t>
  </si>
  <si>
    <t xml:space="preserve">Dimensión</t>
  </si>
  <si>
    <t xml:space="preserve">Peso</t>
  </si>
  <si>
    <t xml:space="preserve">Puntaje base</t>
  </si>
  <si>
    <t xml:space="preserve">Puntaje ponderado</t>
  </si>
  <si>
    <t xml:space="preserve">Máximo</t>
  </si>
  <si>
    <t xml:space="preserve">Evidencia / notas</t>
  </si>
  <si>
    <t xml:space="preserve">Observación</t>
  </si>
  <si>
    <t xml:space="preserve">Tipo de pregunta</t>
  </si>
  <si>
    <t xml:space="preserve">N1</t>
  </si>
  <si>
    <t xml:space="preserve">Negocio y cliente</t>
  </si>
  <si>
    <t xml:space="preserve">¿Impacta directamente clientes, comercios aliados o canales digitales?</t>
  </si>
  <si>
    <t xml:space="preserve">3 - Alto</t>
  </si>
  <si>
    <t xml:space="preserve">Cualitativa</t>
  </si>
  <si>
    <t xml:space="preserve">N2</t>
  </si>
  <si>
    <t xml:space="preserve">¿Soporta una capacidad crítica del negocio financiero (originación, pagos, tarjetas, crédito, cartera o recaudo)?</t>
  </si>
  <si>
    <t xml:space="preserve">N3</t>
  </si>
  <si>
    <t xml:space="preserve">¿Tiene fecha comprometida por negocio, campaña, aliado, regulador o auditoría?</t>
  </si>
  <si>
    <t xml:space="preserve">2 - Medio</t>
  </si>
  <si>
    <t xml:space="preserve">N4</t>
  </si>
  <si>
    <t xml:space="preserve">¿Cuántas áreas de negocio u operación deben coordinarse?</t>
  </si>
  <si>
    <t xml:space="preserve">2 - 2 áreas</t>
  </si>
  <si>
    <t xml:space="preserve">Cuantitativa</t>
  </si>
  <si>
    <t xml:space="preserve">F1</t>
  </si>
  <si>
    <t xml:space="preserve">Alcance funcional</t>
  </si>
  <si>
    <t xml:space="preserve">¿Crea una capacidad nueva y no solo modifica una existente?</t>
  </si>
  <si>
    <t xml:space="preserve">F2</t>
  </si>
  <si>
    <t xml:space="preserve">¿Cuántos canales o frontales impacta (App, web, portal, contact center, backoffice)?</t>
  </si>
  <si>
    <t xml:space="preserve">2 - 2 canales</t>
  </si>
  <si>
    <t xml:space="preserve">F3</t>
  </si>
  <si>
    <t xml:space="preserve">¿Incluye reglas de negocio complejas, parametrización o flujos de aprobación?</t>
  </si>
  <si>
    <t xml:space="preserve">F4</t>
  </si>
  <si>
    <t xml:space="preserve">¿Requiere trazabilidad, reversos, conciliación o auditoría funcional?</t>
  </si>
  <si>
    <t xml:space="preserve">I1</t>
  </si>
  <si>
    <t xml:space="preserve">Integraciones</t>
  </si>
  <si>
    <t xml:space="preserve">¿Cuántos sistemas internos deben integrarse o modificarse?</t>
  </si>
  <si>
    <t xml:space="preserve">3 - 6 a 10 sistemas</t>
  </si>
  <si>
    <t xml:space="preserve">I2</t>
  </si>
  <si>
    <t xml:space="preserve">¿Cuántos terceros externos involucra (aliados retail, bureaus, pasarelas, proveedores, core, antifraude)?</t>
  </si>
  <si>
    <t xml:space="preserve">3 - 3 a 4 terceros</t>
  </si>
  <si>
    <t xml:space="preserve">I3</t>
  </si>
  <si>
    <t xml:space="preserve">¿Cuántas APIs o integraciones nuevas/cambios requiere (APIM, eventos, mensajería)?</t>
  </si>
  <si>
    <t xml:space="preserve">2 - 3 a 5</t>
  </si>
  <si>
    <t xml:space="preserve">I4</t>
  </si>
  <si>
    <t xml:space="preserve">¿De cuántos equipos externos a la célula depende?</t>
  </si>
  <si>
    <t xml:space="preserve">2 - 2 equipos</t>
  </si>
  <si>
    <t xml:space="preserve">S1</t>
  </si>
  <si>
    <t xml:space="preserve">Datos, seguridad y cumplimiento</t>
  </si>
  <si>
    <t xml:space="preserve">¿Procesa datos personales, financieros, transaccionales o sensibles?</t>
  </si>
  <si>
    <t xml:space="preserve">4 - Crítico / muy alto</t>
  </si>
  <si>
    <t xml:space="preserve">S2</t>
  </si>
  <si>
    <t xml:space="preserve">¿Está expuesta a internet o a canales de cliente/aliado?</t>
  </si>
  <si>
    <t xml:space="preserve">S3</t>
  </si>
  <si>
    <t xml:space="preserve">¿Requiere controles de identidad, autorización, roles, MFA o segregación?</t>
  </si>
  <si>
    <t xml:space="preserve">S4</t>
  </si>
  <si>
    <t xml:space="preserve">¿Puede generar impacto de fraude, pérdida económica, reputacional o sanción?</t>
  </si>
  <si>
    <t xml:space="preserve">S5</t>
  </si>
  <si>
    <t xml:space="preserve">¿Requiere evidencia para auditoría, cumplimiento, monitoreo o trazabilidad regulatoria?</t>
  </si>
  <si>
    <t xml:space="preserve">T1</t>
  </si>
  <si>
    <t xml:space="preserve">Tecnología y arquitectura</t>
  </si>
  <si>
    <t xml:space="preserve">¿Introduce tecnología, patrón o componente nuevo para TI?</t>
  </si>
  <si>
    <t xml:space="preserve">T2</t>
  </si>
  <si>
    <t xml:space="preserve">¿Modifica arquitectura transversal, APIs comunes, plataforma, datos maestros o capacidades compartidas?</t>
  </si>
  <si>
    <t xml:space="preserve">T3</t>
  </si>
  <si>
    <t xml:space="preserve">¿Exige alta disponibilidad, resiliencia, recuperación, performance o escalabilidad relevante?</t>
  </si>
  <si>
    <t xml:space="preserve">T4</t>
  </si>
  <si>
    <t xml:space="preserve">¿Requiere diseño de datos complejo, migración, sincronización o consistencia entre sistemas?</t>
  </si>
  <si>
    <t xml:space="preserve">T5</t>
  </si>
  <si>
    <t xml:space="preserve">¿Requiere automatización CI/CD, infraestructura cloud, Kubernetes, APIM, colas o IaC?</t>
  </si>
  <si>
    <t xml:space="preserve">O1</t>
  </si>
  <si>
    <t xml:space="preserve">Operación y soporte</t>
  </si>
  <si>
    <t xml:space="preserve">¿Impacta operación 7x24, mesa de servicio, backoffice o procesos de soporte?</t>
  </si>
  <si>
    <t xml:space="preserve">O2</t>
  </si>
  <si>
    <t xml:space="preserve">¿Requiere observabilidad, alertas, métricas, SLI/SLO o trazabilidad técnica nueva?</t>
  </si>
  <si>
    <t xml:space="preserve">O3</t>
  </si>
  <si>
    <t xml:space="preserve">¿Un error en producción afecta continuidad, recaudo, pagos, crédito o atención al cliente?</t>
  </si>
  <si>
    <t xml:space="preserve">O4</t>
  </si>
  <si>
    <t xml:space="preserve">¿Requiere despliegue gradual, rollback, feature flags o migración controlada?</t>
  </si>
  <si>
    <t xml:space="preserve">D1</t>
  </si>
  <si>
    <t xml:space="preserve">Incertidumbre y dependencias</t>
  </si>
  <si>
    <t xml:space="preserve">¿El requerimiento aún es ambiguo o requiere discovery funcional/técnico?</t>
  </si>
  <si>
    <t xml:space="preserve">D2</t>
  </si>
  <si>
    <t xml:space="preserve">¿Hay dependencias con proveedores, áreas internas o decisiones no confirmadas?</t>
  </si>
  <si>
    <t xml:space="preserve">D3</t>
  </si>
  <si>
    <t xml:space="preserve">¿Cambia procesos, roles operativos o requiere gestión del cambio?</t>
  </si>
  <si>
    <t xml:space="preserve">D4</t>
  </si>
  <si>
    <t xml:space="preserve">¿Hay restricciones fuertes de tiempo, capacidad o coexistencia con otros proyectos?</t>
  </si>
  <si>
    <t xml:space="preserve">Resumen</t>
  </si>
  <si>
    <t xml:space="preserve">Puntaje total</t>
  </si>
  <si>
    <t xml:space="preserve">Suma ponderada de respuestas.</t>
  </si>
  <si>
    <t xml:space="preserve">Puntaje máximo</t>
  </si>
  <si>
    <t xml:space="preserve">Máximo posible según pesos.</t>
  </si>
  <si>
    <t xml:space="preserve">Porcentaje complejidad</t>
  </si>
  <si>
    <t xml:space="preserve">Base para conversión a T-shirt.</t>
  </si>
  <si>
    <t xml:space="preserve">Talla sugerida</t>
  </si>
  <si>
    <t xml:space="preserve">Se recalibra en hoja Reglas.</t>
  </si>
  <si>
    <t xml:space="preserve">Indicadores</t>
  </si>
  <si>
    <t xml:space="preserve">Iniciativa</t>
  </si>
  <si>
    <t xml:space="preserve">Tipo</t>
  </si>
  <si>
    <t xml:space="preserve">Complejidad %</t>
  </si>
  <si>
    <t xml:space="preserve">Talla T-shirt</t>
  </si>
  <si>
    <t xml:space="preserve">PM mínimo</t>
  </si>
  <si>
    <t xml:space="preserve">PM máximo</t>
  </si>
  <si>
    <t xml:space="preserve">FTE mínimo</t>
  </si>
  <si>
    <t xml:space="preserve">FTE máximo</t>
  </si>
  <si>
    <t xml:space="preserve">FTE medio recomendado</t>
  </si>
  <si>
    <t xml:space="preserve">Lectura ejecutiva</t>
  </si>
  <si>
    <t xml:space="preserve">Acción recomendada</t>
  </si>
  <si>
    <t xml:space="preserve">Complejidad por dimensión</t>
  </si>
  <si>
    <t xml:space="preserve">Puntaje</t>
  </si>
  <si>
    <t xml:space="preserve">%</t>
  </si>
  <si>
    <t xml:space="preserve">Nivel</t>
  </si>
  <si>
    <t xml:space="preserve">Mix de capacidades</t>
  </si>
  <si>
    <t xml:space="preserve">Capability</t>
  </si>
  <si>
    <t xml:space="preserve">Nivel SFIA sugerido</t>
  </si>
  <si>
    <t xml:space="preserve">% mix</t>
  </si>
  <si>
    <t xml:space="preserve">FTE base</t>
  </si>
  <si>
    <t xml:space="preserve">Ajuste manual</t>
  </si>
  <si>
    <t xml:space="preserve">FTE final</t>
  </si>
  <si>
    <t xml:space="preserve">Product Owner / Negocio</t>
  </si>
  <si>
    <t xml:space="preserve">Analista negocio / funcional</t>
  </si>
  <si>
    <t xml:space="preserve">Arquitectura de solución</t>
  </si>
  <si>
    <t xml:space="preserve">Desarrollo Backend / API</t>
  </si>
  <si>
    <t xml:space="preserve">Desarrollo Frontend / Mobile</t>
  </si>
  <si>
    <t xml:space="preserve">QA / Automatización</t>
  </si>
  <si>
    <t xml:space="preserve">Seguridad / AppSec</t>
  </si>
  <si>
    <t xml:space="preserve">DevOps / Plataforma</t>
  </si>
  <si>
    <t xml:space="preserve">Datos / Integración</t>
  </si>
  <si>
    <t xml:space="preserve">UX/UI / Experiencia</t>
  </si>
  <si>
    <t xml:space="preserve">Operación / SRE</t>
  </si>
  <si>
    <t xml:space="preserve">Total</t>
  </si>
  <si>
    <t xml:space="preserve">Respuesta formulario</t>
  </si>
  <si>
    <t xml:space="preserve">Conversión a talla y esfuerzo</t>
  </si>
  <si>
    <t xml:space="preserve">Mix de capacidades por talla</t>
  </si>
  <si>
    <t xml:space="preserve">Opciones I1 (sistemas internos)</t>
  </si>
  <si>
    <t xml:space="preserve">Opciones I2 (terceros)</t>
  </si>
  <si>
    <t xml:space="preserve">Opciones I3 (APIs/integraciones)</t>
  </si>
  <si>
    <t xml:space="preserve">Opciones I4 (equipos externos)</t>
  </si>
  <si>
    <t xml:space="preserve">Opciones N4 (áreas)</t>
  </si>
  <si>
    <t xml:space="preserve">Opciones F2 (canales)</t>
  </si>
  <si>
    <t xml:space="preserve">0 - No aplica / sin impacto</t>
  </si>
  <si>
    <t xml:space="preserve">Min %</t>
  </si>
  <si>
    <t xml:space="preserve">Max %</t>
  </si>
  <si>
    <t xml:space="preserve">Talla</t>
  </si>
  <si>
    <t xml:space="preserve">PM min</t>
  </si>
  <si>
    <t xml:space="preserve">PM max</t>
  </si>
  <si>
    <t xml:space="preserve">Guía de lectura</t>
  </si>
  <si>
    <t xml:space="preserve">Descripción</t>
  </si>
  <si>
    <t xml:space="preserve">SFIA XS</t>
  </si>
  <si>
    <t xml:space="preserve">SFIA S</t>
  </si>
  <si>
    <t xml:space="preserve">SFIA M</t>
  </si>
  <si>
    <t xml:space="preserve">SFIA L</t>
  </si>
  <si>
    <t xml:space="preserve">SFIA XL</t>
  </si>
  <si>
    <t xml:space="preserve">Mix XS</t>
  </si>
  <si>
    <t xml:space="preserve">Mix S</t>
  </si>
  <si>
    <t xml:space="preserve">Mix M</t>
  </si>
  <si>
    <t xml:space="preserve">Mix L</t>
  </si>
  <si>
    <t xml:space="preserve">Mix XL</t>
  </si>
  <si>
    <t xml:space="preserve">0 - Ninguno</t>
  </si>
  <si>
    <t xml:space="preserve">0 - Ninguna</t>
  </si>
  <si>
    <t xml:space="preserve">0 - Ninguna / solo la célula</t>
  </si>
  <si>
    <t xml:space="preserve">1 - Bajo</t>
  </si>
  <si>
    <t xml:space="preserve">XS</t>
  </si>
  <si>
    <t xml:space="preserve">Cambio menor o ajuste acotado.</t>
  </si>
  <si>
    <t xml:space="preserve">Resolver con capacidad existente o célula ligera.</t>
  </si>
  <si>
    <t xml:space="preserve">Prioridad, valor de negocio, decisiones funcionales y relación con stakeholders.</t>
  </si>
  <si>
    <t xml:space="preserve">Indispensable para foco y priorización.</t>
  </si>
  <si>
    <t xml:space="preserve">1 - 1 a 2 sistemas</t>
  </si>
  <si>
    <t xml:space="preserve">1 - 1 tercero</t>
  </si>
  <si>
    <t xml:space="preserve">1 - 1 a 2</t>
  </si>
  <si>
    <t xml:space="preserve">1 - 1 equipo</t>
  </si>
  <si>
    <t xml:space="preserve">1 - 1 área</t>
  </si>
  <si>
    <t xml:space="preserve">1 - 1 canal</t>
  </si>
  <si>
    <t xml:space="preserve">S</t>
  </si>
  <si>
    <t xml:space="preserve">Iniciativa pequeña con alcance conocido.</t>
  </si>
  <si>
    <t xml:space="preserve">Célula reducida y apoyo puntual de arquitectura/seguridad.</t>
  </si>
  <si>
    <t xml:space="preserve">Levantamiento, reglas, trazabilidad, procesos, criterios de aceptación.</t>
  </si>
  <si>
    <t xml:space="preserve">Clave cuando no hay historias detalladas.</t>
  </si>
  <si>
    <t xml:space="preserve">2 - 3 a 5 sistemas</t>
  </si>
  <si>
    <t xml:space="preserve">2 - 2 terceros</t>
  </si>
  <si>
    <t xml:space="preserve">M</t>
  </si>
  <si>
    <t xml:space="preserve">Iniciativa media con varias piezas o integraciones.</t>
  </si>
  <si>
    <t xml:space="preserve">Célula base y discovery corto para validar supuestos.</t>
  </si>
  <si>
    <t xml:space="preserve">Diseño, trade-offs, estándares, integración, NFRs y decisiones técnicas.</t>
  </si>
  <si>
    <t xml:space="preserve">Puede ser compartida según criticidad.</t>
  </si>
  <si>
    <t xml:space="preserve">3 - 6 a 10</t>
  </si>
  <si>
    <t xml:space="preserve">3 - 3 equipos</t>
  </si>
  <si>
    <t xml:space="preserve">3 - 3 a 4 áreas</t>
  </si>
  <si>
    <t xml:space="preserve">3 - 3 canales</t>
  </si>
  <si>
    <t xml:space="preserve">L</t>
  </si>
  <si>
    <t xml:space="preserve">Iniciativa grande, transversal o con riesgo relevante.</t>
  </si>
  <si>
    <t xml:space="preserve">Célula completa, arquitectura temprana y validación AppSec.</t>
  </si>
  <si>
    <t xml:space="preserve">Servicios, APIs, lógica de negocio, integración, seguridad técnica.</t>
  </si>
  <si>
    <t xml:space="preserve">Alta relevancia en iniciativas financieras y transversales.</t>
  </si>
  <si>
    <t xml:space="preserve">4 - Más de 10 sistemas</t>
  </si>
  <si>
    <t xml:space="preserve">4 - 5 o más terceros</t>
  </si>
  <si>
    <t xml:space="preserve">4 - Más de 10</t>
  </si>
  <si>
    <t xml:space="preserve">4 - 4 o más equipos</t>
  </si>
  <si>
    <t xml:space="preserve">4 - 5 o más áreas</t>
  </si>
  <si>
    <t xml:space="preserve">4 - 4 o más canales</t>
  </si>
  <si>
    <t xml:space="preserve">XL</t>
  </si>
  <si>
    <t xml:space="preserve">Programa o iniciativa estratégica de alta incertidumbre.</t>
  </si>
  <si>
    <t xml:space="preserve">Evaluar dividir en frentes/células y hacer discovery formal.</t>
  </si>
  <si>
    <t xml:space="preserve">Canales digitales, experiencia, integración con APIs, validaciones de UI.</t>
  </si>
  <si>
    <t xml:space="preserve">Aplicar si impacta App, web o portales.</t>
  </si>
  <si>
    <t xml:space="preserve">Estrategia de pruebas, regresión, automatización, datos de prueba, pruebas E2E.</t>
  </si>
  <si>
    <t xml:space="preserve">Aumentar en flujos críticos, cartera, pagos o crédito.</t>
  </si>
  <si>
    <t xml:space="preserve">API / Backend</t>
  </si>
  <si>
    <t xml:space="preserve">Servicios, APIs, procesos backend o capacidades transversales.</t>
  </si>
  <si>
    <t xml:space="preserve">Threat modeling, IAM, OWASP, protección de datos, fraude, revisiones y evidencias.</t>
  </si>
  <si>
    <t xml:space="preserve">Aumentar si hay datos sensibles, internet o riesgo regulatorio.</t>
  </si>
  <si>
    <t xml:space="preserve">Canal digital</t>
  </si>
  <si>
    <t xml:space="preserve">App, web, portal, frontend, experiencia de cliente o aliado.</t>
  </si>
  <si>
    <t xml:space="preserve">CI/CD, cloud, Kubernetes, APIM, observabilidad, IaC y despliegues.</t>
  </si>
  <si>
    <t xml:space="preserve">Puede ser compartida si existe plataforma madura.</t>
  </si>
  <si>
    <t xml:space="preserve">Datos / Analítica</t>
  </si>
  <si>
    <t xml:space="preserve">Integración, modelos de datos, reportes, BI o analítica.</t>
  </si>
  <si>
    <t xml:space="preserve">Modelado, persistencia, migración, mensajería, consistencia y reportabilidad.</t>
  </si>
  <si>
    <t xml:space="preserve">Aplica en analítica, reportes, integraciones o migración.</t>
  </si>
  <si>
    <t xml:space="preserve">Infraestructura / Plataforma</t>
  </si>
  <si>
    <t xml:space="preserve">Cloud, DevOps, Kubernetes, APIM, automatización o plataforma.</t>
  </si>
  <si>
    <t xml:space="preserve">Diseño de interacción, pruebas con usuario, journeys y diseño omnicanal.</t>
  </si>
  <si>
    <t xml:space="preserve">Aplicar en canales de cliente/aliado.</t>
  </si>
  <si>
    <t xml:space="preserve">Seguridad / Cumplimiento</t>
  </si>
  <si>
    <t xml:space="preserve">Controles, auditoría, IAM, fraude, hardening o cumplimiento.</t>
  </si>
  <si>
    <t xml:space="preserve">Soporte, monitoreo, SLO, continuidad, runbooks, incidentes y operación.</t>
  </si>
  <si>
    <t xml:space="preserve">Relevante para servicios críticos o 7x24.</t>
  </si>
  <si>
    <t xml:space="preserve">Operación / Backoffice</t>
  </si>
  <si>
    <t xml:space="preserve">Procesos internos, soporte, contact center, operación, cartera o recaudo.</t>
  </si>
  <si>
    <t xml:space="preserve">Nueva capacidad de crédito, tarjeta, pagos, originación, cartera o experiencia financiera.</t>
  </si>
  <si>
    <t xml:space="preserve">Debe sumar 100% por talla</t>
  </si>
  <si>
    <t xml:space="preserve">Fecha cierre</t>
  </si>
  <si>
    <t xml:space="preserve">Talla estimada</t>
  </si>
  <si>
    <t xml:space="preserve">FTE estimado medio</t>
  </si>
  <si>
    <t xml:space="preserve">FTE real medio</t>
  </si>
  <si>
    <t xml:space="preserve">Duración real meses</t>
  </si>
  <si>
    <t xml:space="preserve">Desvío FTE</t>
  </si>
  <si>
    <t xml:space="preserve">¿Requiere ajustar reglas?</t>
  </si>
  <si>
    <t xml:space="preserve">Aprendizaje</t>
  </si>
  <si>
    <t xml:space="preserve">Link/evidencia</t>
  </si>
  <si>
    <t xml:space="preserve">Frase guía</t>
  </si>
  <si>
    <t xml:space="preserve">Autonomía</t>
  </si>
  <si>
    <t xml:space="preserve">Influencia</t>
  </si>
  <si>
    <t xml:space="preserve">Complejidad</t>
  </si>
  <si>
    <t xml:space="preserve">Uso en staffing temprano</t>
  </si>
  <si>
    <t xml:space="preserve">No requerido dedicado</t>
  </si>
  <si>
    <t xml:space="preserve">No se asigna como capacidad dedicada.</t>
  </si>
  <si>
    <t xml:space="preserve">Apoyo bajo demanda.</t>
  </si>
  <si>
    <t xml:space="preserve">No aplica.</t>
  </si>
  <si>
    <t xml:space="preserve">Usar solo si la iniciativa dispara necesidad puntual.</t>
  </si>
  <si>
    <t xml:space="preserve">Seguir</t>
  </si>
  <si>
    <t xml:space="preserve">Trabaja bajo instrucciones.</t>
  </si>
  <si>
    <t xml:space="preserve">Impacto individual.</t>
  </si>
  <si>
    <t xml:space="preserve">Tareas simples.</t>
  </si>
  <si>
    <t xml:space="preserve">No recomendado para ownership de iniciativa.</t>
  </si>
  <si>
    <t xml:space="preserve">Asistir</t>
  </si>
  <si>
    <t xml:space="preserve">Requiere guía frecuente.</t>
  </si>
  <si>
    <t xml:space="preserve">Impacto en tareas.</t>
  </si>
  <si>
    <t xml:space="preserve">Problemas acotados.</t>
  </si>
  <si>
    <t xml:space="preserve">Útil como apoyo con supervisión.</t>
  </si>
  <si>
    <t xml:space="preserve">Aplicar</t>
  </si>
  <si>
    <t xml:space="preserve">Trabaja con autonomía en tareas/entregables conocidos.</t>
  </si>
  <si>
    <t xml:space="preserve">Impacto en la célula.</t>
  </si>
  <si>
    <t xml:space="preserve">Complejidad moderada.</t>
  </si>
  <si>
    <t xml:space="preserve">Equivalente aproximado a ingeniero II / semi senior.</t>
  </si>
  <si>
    <t xml:space="preserve">Facilitar</t>
  </si>
  <si>
    <t xml:space="preserve">Toma decisiones técnicas locales.</t>
  </si>
  <si>
    <t xml:space="preserve">Impacto en equipo o componente.</t>
  </si>
  <si>
    <t xml:space="preserve">Problemas complejos y conocidos.</t>
  </si>
  <si>
    <t xml:space="preserve">Equivalente aproximado a senior / especialista.</t>
  </si>
  <si>
    <t xml:space="preserve">Asegurar y asesorar</t>
  </si>
  <si>
    <t xml:space="preserve">Define enfoques y asesora.</t>
  </si>
  <si>
    <t xml:space="preserve">Impacto transversal o multi-equipo.</t>
  </si>
  <si>
    <t xml:space="preserve">Alta complejidad e incertidumbre.</t>
  </si>
  <si>
    <t xml:space="preserve">Arquitectura, seguridad o liderazgo técnico relevante.</t>
  </si>
  <si>
    <t xml:space="preserve">Iniciar e influir</t>
  </si>
  <si>
    <t xml:space="preserve">Inicia cambios y define prácticas.</t>
  </si>
  <si>
    <t xml:space="preserve">Impacto organizacional.</t>
  </si>
  <si>
    <t xml:space="preserve">Problemas amplios y estratégicos.</t>
  </si>
  <si>
    <t xml:space="preserve">Principal / arquitecto empresarial / plataforma corporativa.</t>
  </si>
  <si>
    <t xml:space="preserve">Definir estrategia</t>
  </si>
  <si>
    <t xml:space="preserve">Define estrategia organizacional.</t>
  </si>
  <si>
    <t xml:space="preserve">Impacto ejecutivo.</t>
  </si>
  <si>
    <t xml:space="preserve">Ambigüedad estratégica.</t>
  </si>
  <si>
    <t xml:space="preserve">Dirección tecnológica o estrategia corporativa.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</si>
</sst>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%"/>
    <numFmt numFmtId="167" formatCode="0.00"/>
    <numFmt numFmtId="168" formatCode="0"/>
    <numFmt numFmtId="169" formatCode="yyyy\-mm\-dd"/>
  </numFmts>
  <fonts count="1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6"/>
      <color rgb="FFFFFFFF"/>
      <name val="Calibri"/>
      <family val="2"/>
      <charset val="1"/>
    </font>
    <font>
      <i val="true"/>
      <sz val="10"/>
      <color rgb="FF595959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1F4E79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56082"/>
      </patternFill>
    </fill>
    <fill>
      <patternFill patternType="solid">
        <fgColor rgb="FFD9EAF7"/>
        <bgColor rgb="FFE2F0D9"/>
      </patternFill>
    </fill>
    <fill>
      <patternFill patternType="solid">
        <fgColor rgb="FF2E75B6"/>
        <bgColor rgb="FF15608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F0D9"/>
      </patternFill>
    </fill>
    <fill>
      <patternFill patternType="solid">
        <fgColor rgb="FFC6EFCE"/>
        <bgColor rgb="FFE2F0D9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E2F0D9"/>
        <bgColor rgb="FFD9EA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4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ADF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FBFBF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EB9C"/>
      <rgbColor rgb="FFD9D9D9"/>
      <rgbColor rgb="FFF2F2F2"/>
      <rgbColor rgb="FFCC99FF"/>
      <rgbColor rgb="FFFFC7CE"/>
      <rgbColor rgb="FF2E75B6"/>
      <rgbColor rgb="FF33CCCC"/>
      <rgbColor rgb="FF99CC00"/>
      <rgbColor rgb="FFFFCC00"/>
      <rgbColor rgb="FFFF9900"/>
      <rgbColor rgb="FFE97132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Complejidad por dimensión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"Puntaje"</c:f>
              <c:strCache>
                <c:ptCount val="1"/>
                <c:pt idx="0">
                  <c:v>Puntaje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Resultados!$B$22:$B$28</c:f>
              <c:numCache>
                <c:formatCode>General</c:formatCode>
                <c:ptCount val="7"/>
                <c:pt idx="0">
                  <c:v>21</c:v>
                </c:pt>
                <c:pt idx="1">
                  <c:v>26</c:v>
                </c:pt>
                <c:pt idx="2">
                  <c:v>26</c:v>
                </c:pt>
                <c:pt idx="3">
                  <c:v>38</c:v>
                </c:pt>
                <c:pt idx="4">
                  <c:v>32</c:v>
                </c:pt>
                <c:pt idx="5">
                  <c:v>24</c:v>
                </c:pt>
                <c:pt idx="6">
                  <c:v>16</c:v>
                </c:pt>
              </c:numCache>
            </c:numRef>
          </c:val>
        </c:ser>
        <c:ser>
          <c:idx val="1"/>
          <c:order val="1"/>
          <c:tx>
            <c:strRef>
              <c:f>"Máximo"</c:f>
              <c:strCache>
                <c:ptCount val="1"/>
                <c:pt idx="0">
                  <c:v>Máximo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Resultados!$C$22:$C$28</c:f>
              <c:numCache>
                <c:formatCode>General</c:formatCode>
                <c:ptCount val="7"/>
                <c:pt idx="0">
                  <c:v>32</c:v>
                </c:pt>
                <c:pt idx="1">
                  <c:v>40</c:v>
                </c:pt>
                <c:pt idx="2">
                  <c:v>40</c:v>
                </c:pt>
                <c:pt idx="3">
                  <c:v>52</c:v>
                </c:pt>
                <c:pt idx="4">
                  <c:v>52</c:v>
                </c:pt>
                <c:pt idx="5">
                  <c:v>36</c:v>
                </c:pt>
                <c:pt idx="6">
                  <c:v>28</c:v>
                </c:pt>
              </c:numCache>
            </c:numRef>
          </c:val>
        </c:ser>
        <c:ser>
          <c:idx val="2"/>
          <c:order val="2"/>
          <c:tx>
            <c:strRef>
              <c:f>"%"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Resultados!$A$22:$A$28</c:f>
              <c:strCache>
                <c:ptCount val="7"/>
                <c:pt idx="0">
                  <c:v>Negocio y cliente</c:v>
                </c:pt>
                <c:pt idx="1">
                  <c:v>Alcance funcional</c:v>
                </c:pt>
                <c:pt idx="2">
                  <c:v>Integraciones</c:v>
                </c:pt>
                <c:pt idx="3">
                  <c:v>Datos, seguridad y cumplimiento</c:v>
                </c:pt>
                <c:pt idx="4">
                  <c:v>Tecnología y arquitectura</c:v>
                </c:pt>
                <c:pt idx="5">
                  <c:v>Operación y soporte</c:v>
                </c:pt>
                <c:pt idx="6">
                  <c:v>Incertidumbre y dependencias</c:v>
                </c:pt>
              </c:strCache>
            </c:strRef>
          </c:cat>
          <c:val>
            <c:numRef>
              <c:f>Resultados!$D$22:$D$28</c:f>
              <c:numCache>
                <c:formatCode>0.0</c:formatCode>
                <c:ptCount val="7"/>
                <c:pt idx="0">
                  <c:v>65.625</c:v>
                </c:pt>
                <c:pt idx="1">
                  <c:v>65</c:v>
                </c:pt>
                <c:pt idx="2">
                  <c:v>65</c:v>
                </c:pt>
                <c:pt idx="3">
                  <c:v>73.0769230769231</c:v>
                </c:pt>
                <c:pt idx="4">
                  <c:v>61.5384615384615</c:v>
                </c:pt>
                <c:pt idx="5">
                  <c:v>66.6666666666667</c:v>
                </c:pt>
                <c:pt idx="6">
                  <c:v>57.1428571428571</c:v>
                </c:pt>
              </c:numCache>
            </c:numRef>
          </c:val>
        </c:ser>
        <c:gapWidth val="150"/>
        <c:overlap val="0"/>
        <c:axId val="64282691"/>
        <c:axId val="7431913"/>
      </c:barChart>
      <c:catAx>
        <c:axId val="6428269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431913"/>
        <c:crosses val="autoZero"/>
        <c:auto val="1"/>
        <c:lblAlgn val="ctr"/>
        <c:lblOffset val="100"/>
        <c:noMultiLvlLbl val="0"/>
      </c:catAx>
      <c:valAx>
        <c:axId val="743191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42826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7</xdr:col>
      <xdr:colOff>845280</xdr:colOff>
      <xdr:row>17</xdr:row>
      <xdr:rowOff>180720</xdr:rowOff>
    </xdr:to>
    <xdr:graphicFrame>
      <xdr:nvGraphicFramePr>
        <xdr:cNvPr id="1" name="Chart"/>
        <xdr:cNvGraphicFramePr/>
      </xdr:nvGraphicFramePr>
      <xdr:xfrm>
        <a:off x="4651920" y="714240"/>
        <a:ext cx="6766200" cy="364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libracionModelo" displayName="CalibracionModelo" ref="A3:M23" headerRowCount="1" totalsRowCount="0" totalsRowShown="0">
  <tableColumns count="13">
    <tableColumn id="1" name="Fecha cierre"/>
    <tableColumn id="2" name="Iniciativa"/>
    <tableColumn id="3" name="Tipo"/>
    <tableColumn id="4" name="Talla estimada"/>
    <tableColumn id="5" name="PM min"/>
    <tableColumn id="6" name="PM max"/>
    <tableColumn id="7" name="FTE estimado medio"/>
    <tableColumn id="8" name="FTE real medio"/>
    <tableColumn id="9" name="Duración real meses"/>
    <tableColumn id="10" name="Desvío FTE"/>
    <tableColumn id="11" name="¿Requiere ajustar reglas?"/>
    <tableColumn id="12" name="Aprendizaje"/>
    <tableColumn id="13" name="Link/evidencia"/>
  </tableColumns>
</table>
</file>

<file path=xl/tables/table2.xml><?xml version="1.0" encoding="utf-8"?>
<table xmlns="http://schemas.openxmlformats.org/spreadsheetml/2006/main" id="2" name="DiccionarioSFIA" displayName="DiccionarioSFIA" ref="A3:F11" headerRowCount="1" totalsRowCount="0" totalsRowShown="0">
  <tableColumns count="6">
    <tableColumn id="1" name="Nivel"/>
    <tableColumn id="2" name="Frase guía"/>
    <tableColumn id="3" name="Autonomía"/>
    <tableColumn id="4" name="Influencia"/>
    <tableColumn id="5" name="Complejidad"/>
    <tableColumn id="6" name="Uso en staffing temprano"/>
  </tableColumns>
</table>
</file>

<file path=xl/tables/table3.xml><?xml version="1.0" encoding="utf-8"?>
<table xmlns="http://schemas.openxmlformats.org/spreadsheetml/2006/main" id="3" name="FormularioScoring" displayName="FormularioScoring" ref="A11:J41" headerRowCount="1" totalsRowCount="0" totalsRowShown="0">
  <tableColumns count="10">
    <tableColumn id="1" name="ID"/>
    <tableColumn id="2" name="Dimensión"/>
    <tableColumn id="3" name="Pregunta"/>
    <tableColumn id="4" name="Respuesta"/>
    <tableColumn id="5" name="Peso"/>
    <tableColumn id="6" name="Puntaje base"/>
    <tableColumn id="7" name="Puntaje ponderado"/>
    <tableColumn id="8" name="Máximo"/>
    <tableColumn id="9" name="Evidencia / notas"/>
    <tableColumn id="10" name="Observación"/>
  </tableColumns>
</table>
</file>

<file path=xl/tables/table4.xml><?xml version="1.0" encoding="utf-8"?>
<table xmlns="http://schemas.openxmlformats.org/spreadsheetml/2006/main" id="4" name="ReglasCapabilities" displayName="ReglasCapabilities" ref="K4:W15" headerRowCount="1" totalsRowCount="0" totalsRowShown="0">
  <tableColumns count="13">
    <tableColumn id="1" name="Capability"/>
    <tableColumn id="2" name="Descripción"/>
    <tableColumn id="3" name="SFIA XS"/>
    <tableColumn id="4" name="SFIA S"/>
    <tableColumn id="5" name="SFIA M"/>
    <tableColumn id="6" name="SFIA L"/>
    <tableColumn id="7" name="SFIA XL"/>
    <tableColumn id="8" name="Mix XS"/>
    <tableColumn id="9" name="Mix S"/>
    <tableColumn id="10" name="Mix M"/>
    <tableColumn id="11" name="Mix L"/>
    <tableColumn id="12" name="Mix XL"/>
    <tableColumn id="13" name="Notas"/>
  </tableColumns>
</table>
</file>

<file path=xl/tables/table5.xml><?xml version="1.0" encoding="utf-8"?>
<table xmlns="http://schemas.openxmlformats.org/spreadsheetml/2006/main" id="5" name="ReglasTshirt" displayName="ReglasTshirt" ref="D4:J9" headerRowCount="1" totalsRowCount="0" totalsRowShown="0">
  <tableColumns count="7">
    <tableColumn id="1" name="Min %"/>
    <tableColumn id="2" name="Max %"/>
    <tableColumn id="3" name="Talla"/>
    <tableColumn id="4" name="PM min"/>
    <tableColumn id="5" name="PM max"/>
    <tableColumn id="6" name="Guía de lectura"/>
    <tableColumn id="7" name="Acción recomendada"/>
  </tableColumns>
</table>
</file>

<file path=xl/tables/table6.xml><?xml version="1.0" encoding="utf-8"?>
<table xmlns="http://schemas.openxmlformats.org/spreadsheetml/2006/main" id="6" name="ResultadosCapacidades" displayName="ResultadosCapacidades" ref="A32:G43" headerRowCount="1" totalsRowCount="0" totalsRowShown="0">
  <tableColumns count="7">
    <tableColumn id="1" name="Capability"/>
    <tableColumn id="2" name="Nivel SFIA sugerido"/>
    <tableColumn id="3" name="% mix"/>
    <tableColumn id="4" name="FTE base"/>
    <tableColumn id="5" name="Ajuste manual"/>
    <tableColumn id="6" name="FTE final"/>
    <tableColumn id="7" name="Notas"/>
  </tableColumns>
</table>
</file>

<file path=xl/tables/table7.xml><?xml version="1.0" encoding="utf-8"?>
<table xmlns="http://schemas.openxmlformats.org/spreadsheetml/2006/main" id="7" name="ResultadosDimensiones" displayName="ResultadosDimensiones" ref="A21:E28" headerRowCount="1" totalsRowCount="0" totalsRowShown="0">
  <tableColumns count="5">
    <tableColumn id="1" name="Dimensión"/>
    <tableColumn id="2" name="Puntaje"/>
    <tableColumn id="3" name="Máximo"/>
    <tableColumn id="4" name="%"/>
    <tableColumn id="5" name="Nivel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6.xml"/><Relationship Id="rId3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44"/>
    <col collapsed="false" customWidth="true" hidden="false" outlineLevel="0" max="8" min="4" style="0" width="9"/>
  </cols>
  <sheetData>
    <row r="1" customFormat="false" ht="30" hidden="false" customHeight="true" outlineLevel="0" collapsed="false">
      <c r="A1" s="1" t="s">
        <v>0</v>
      </c>
      <c r="B1" s="1"/>
      <c r="C1" s="1"/>
    </row>
    <row r="3" customFormat="false" ht="18" hidden="false" customHeight="true" outlineLevel="0" collapsed="false">
      <c r="A3" s="2" t="s">
        <v>1</v>
      </c>
      <c r="B3" s="2"/>
      <c r="C3" s="2"/>
    </row>
    <row r="4" customFormat="false" ht="39.75" hidden="false" customHeight="true" outlineLevel="0" collapsed="false">
      <c r="A4" s="3" t="s">
        <v>2</v>
      </c>
      <c r="B4" s="3"/>
      <c r="C4" s="3"/>
    </row>
    <row r="6" customFormat="false" ht="18" hidden="false" customHeight="true" outlineLevel="0" collapsed="false">
      <c r="A6" s="2" t="s">
        <v>3</v>
      </c>
      <c r="B6" s="2"/>
      <c r="C6" s="2"/>
    </row>
    <row r="7" customFormat="false" ht="39.75" hidden="false" customHeight="true" outlineLevel="0" collapsed="false">
      <c r="A7" s="3" t="s">
        <v>4</v>
      </c>
      <c r="B7" s="3"/>
      <c r="C7" s="3"/>
    </row>
    <row r="9" customFormat="false" ht="18" hidden="false" customHeight="true" outlineLevel="0" collapsed="false">
      <c r="A9" s="2" t="s">
        <v>5</v>
      </c>
      <c r="B9" s="2"/>
      <c r="C9" s="2"/>
    </row>
    <row r="10" customFormat="false" ht="14.25" hidden="false" customHeight="false" outlineLevel="0" collapsed="false">
      <c r="A10" s="4" t="s">
        <v>6</v>
      </c>
      <c r="B10" s="4" t="s">
        <v>7</v>
      </c>
      <c r="C10" s="4"/>
    </row>
    <row r="11" customFormat="false" ht="23.85" hidden="false" customHeight="false" outlineLevel="0" collapsed="false">
      <c r="A11" s="5" t="s">
        <v>8</v>
      </c>
      <c r="B11" s="5" t="s">
        <v>9</v>
      </c>
    </row>
    <row r="12" customFormat="false" ht="23.85" hidden="false" customHeight="false" outlineLevel="0" collapsed="false">
      <c r="A12" s="5" t="s">
        <v>10</v>
      </c>
      <c r="B12" s="5" t="s">
        <v>11</v>
      </c>
    </row>
    <row r="13" customFormat="false" ht="14.25" hidden="false" customHeight="false" outlineLevel="0" collapsed="false">
      <c r="A13" s="5" t="s">
        <v>12</v>
      </c>
      <c r="B13" s="5" t="s">
        <v>13</v>
      </c>
    </row>
    <row r="14" customFormat="false" ht="23.85" hidden="false" customHeight="false" outlineLevel="0" collapsed="false">
      <c r="A14" s="5" t="s">
        <v>14</v>
      </c>
      <c r="B14" s="5" t="s">
        <v>15</v>
      </c>
    </row>
    <row r="15" customFormat="false" ht="14.25" hidden="false" customHeight="false" outlineLevel="0" collapsed="false">
      <c r="A15" s="5" t="s">
        <v>16</v>
      </c>
      <c r="B15" s="5" t="s">
        <v>17</v>
      </c>
    </row>
    <row r="16" customFormat="false" ht="14.25" hidden="false" customHeight="false" outlineLevel="0" collapsed="false">
      <c r="A16" s="5" t="s">
        <v>18</v>
      </c>
      <c r="B16" s="5" t="s">
        <v>19</v>
      </c>
    </row>
    <row r="18" customFormat="false" ht="18" hidden="false" customHeight="true" outlineLevel="0" collapsed="false">
      <c r="A18" s="2" t="s">
        <v>20</v>
      </c>
      <c r="B18" s="2"/>
      <c r="C18" s="2"/>
    </row>
    <row r="19" customFormat="false" ht="14.25" hidden="false" customHeight="false" outlineLevel="0" collapsed="false">
      <c r="A19" s="4" t="s">
        <v>21</v>
      </c>
      <c r="B19" s="4" t="s">
        <v>22</v>
      </c>
      <c r="C19" s="4" t="s">
        <v>23</v>
      </c>
    </row>
    <row r="20" customFormat="false" ht="14.25" hidden="false" customHeight="false" outlineLevel="0" collapsed="false">
      <c r="A20" s="5" t="s">
        <v>24</v>
      </c>
      <c r="B20" s="5" t="s">
        <v>25</v>
      </c>
      <c r="C20" s="5" t="s">
        <v>26</v>
      </c>
    </row>
    <row r="21" customFormat="false" ht="14.25" hidden="false" customHeight="false" outlineLevel="0" collapsed="false">
      <c r="A21" s="5" t="s">
        <v>27</v>
      </c>
      <c r="B21" s="5" t="s">
        <v>28</v>
      </c>
      <c r="C21" s="5" t="s">
        <v>29</v>
      </c>
    </row>
    <row r="22" customFormat="false" ht="14.25" hidden="false" customHeight="false" outlineLevel="0" collapsed="false">
      <c r="A22" s="5" t="s">
        <v>30</v>
      </c>
      <c r="B22" s="5" t="s">
        <v>31</v>
      </c>
      <c r="C22" s="5" t="s">
        <v>32</v>
      </c>
    </row>
    <row r="23" customFormat="false" ht="14.25" hidden="false" customHeight="false" outlineLevel="0" collapsed="false">
      <c r="A23" s="5" t="s">
        <v>33</v>
      </c>
      <c r="B23" s="5" t="s">
        <v>34</v>
      </c>
      <c r="C23" s="5" t="s">
        <v>35</v>
      </c>
    </row>
    <row r="24" customFormat="false" ht="14.25" hidden="false" customHeight="false" outlineLevel="0" collapsed="false">
      <c r="A24" s="5" t="s">
        <v>36</v>
      </c>
      <c r="B24" s="5" t="s">
        <v>37</v>
      </c>
      <c r="C24" s="5" t="s">
        <v>38</v>
      </c>
    </row>
    <row r="26" customFormat="false" ht="45.75" hidden="false" customHeight="true" outlineLevel="0" collapsed="false">
      <c r="A26" s="3" t="s">
        <v>39</v>
      </c>
      <c r="B26" s="3"/>
      <c r="C26" s="3"/>
    </row>
  </sheetData>
  <mergeCells count="8">
    <mergeCell ref="A1:C1"/>
    <mergeCell ref="A3:C3"/>
    <mergeCell ref="A4:C4"/>
    <mergeCell ref="A6:C6"/>
    <mergeCell ref="A7:C7"/>
    <mergeCell ref="A9:C9"/>
    <mergeCell ref="A18:C18"/>
    <mergeCell ref="A26:C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82"/>
    <col collapsed="false" customWidth="true" hidden="false" outlineLevel="0" max="2" min="2" style="0" width="24"/>
    <col collapsed="false" customWidth="true" hidden="true" outlineLevel="0" max="8" min="8" style="0" width="3"/>
  </cols>
  <sheetData>
    <row r="1" customFormat="false" ht="30" hidden="false" customHeight="true" outlineLevel="0" collapsed="false">
      <c r="A1" s="6" t="s">
        <v>40</v>
      </c>
      <c r="B1" s="6"/>
    </row>
    <row r="2" customFormat="false" ht="15.75" hidden="false" customHeight="true" outlineLevel="0" collapsed="false">
      <c r="A2" s="7" t="s">
        <v>41</v>
      </c>
      <c r="B2" s="7"/>
    </row>
    <row r="5" customFormat="false" ht="21.75" hidden="false" customHeight="true" outlineLevel="0" collapsed="false">
      <c r="A5" s="8" t="s">
        <v>42</v>
      </c>
      <c r="B5" s="8"/>
    </row>
    <row r="6" customFormat="false" ht="19.5" hidden="false" customHeight="true" outlineLevel="0" collapsed="false">
      <c r="A6" s="9" t="s">
        <v>43</v>
      </c>
      <c r="B6" s="10" t="s">
        <v>44</v>
      </c>
    </row>
    <row r="7" customFormat="false" ht="30" hidden="false" customHeight="true" outlineLevel="0" collapsed="false">
      <c r="A7" s="11" t="s">
        <v>45</v>
      </c>
      <c r="B7" s="12" t="s">
        <v>46</v>
      </c>
      <c r="H7" s="0" t="n">
        <f aca="false">IF(B7="Sí",1,0)</f>
        <v>1</v>
      </c>
    </row>
    <row r="8" customFormat="false" ht="30" hidden="false" customHeight="true" outlineLevel="0" collapsed="false">
      <c r="A8" s="11" t="s">
        <v>47</v>
      </c>
      <c r="B8" s="12" t="s">
        <v>46</v>
      </c>
      <c r="H8" s="0" t="n">
        <f aca="false">IF(B8="Sí",1,0)</f>
        <v>1</v>
      </c>
    </row>
    <row r="9" customFormat="false" ht="30" hidden="false" customHeight="true" outlineLevel="0" collapsed="false">
      <c r="A9" s="11" t="s">
        <v>48</v>
      </c>
      <c r="B9" s="12" t="s">
        <v>46</v>
      </c>
      <c r="H9" s="0" t="n">
        <f aca="false">IF(B9="Sí",1,0)</f>
        <v>1</v>
      </c>
    </row>
    <row r="10" customFormat="false" ht="30" hidden="false" customHeight="true" outlineLevel="0" collapsed="false">
      <c r="A10" s="11" t="s">
        <v>49</v>
      </c>
      <c r="B10" s="12" t="s">
        <v>46</v>
      </c>
      <c r="H10" s="0" t="n">
        <f aca="false">IF(B10="Sí",1,0)</f>
        <v>1</v>
      </c>
    </row>
    <row r="11" customFormat="false" ht="30" hidden="false" customHeight="true" outlineLevel="0" collapsed="false">
      <c r="A11" s="11" t="s">
        <v>50</v>
      </c>
      <c r="B11" s="12" t="s">
        <v>46</v>
      </c>
      <c r="H11" s="0" t="n">
        <f aca="false">IF(B11="Sí",1,0)</f>
        <v>1</v>
      </c>
    </row>
    <row r="12" customFormat="false" ht="30" hidden="false" customHeight="true" outlineLevel="0" collapsed="false">
      <c r="A12" s="11" t="s">
        <v>51</v>
      </c>
      <c r="B12" s="12" t="s">
        <v>52</v>
      </c>
      <c r="H12" s="0" t="n">
        <f aca="false">IF(B12="Sí",1,0)</f>
        <v>0</v>
      </c>
    </row>
    <row r="14" customFormat="false" ht="21.75" hidden="false" customHeight="true" outlineLevel="0" collapsed="false">
      <c r="A14" s="8" t="s">
        <v>53</v>
      </c>
      <c r="B14" s="8"/>
    </row>
    <row r="15" customFormat="false" ht="18" hidden="false" customHeight="true" outlineLevel="0" collapsed="false">
      <c r="A15" s="13" t="s">
        <v>54</v>
      </c>
      <c r="B15" s="14" t="n">
        <f aca="false">SUM(H7:H12)</f>
        <v>5</v>
      </c>
    </row>
    <row r="16" customFormat="false" ht="18" hidden="false" customHeight="true" outlineLevel="0" collapsed="false">
      <c r="A16" s="13" t="s">
        <v>55</v>
      </c>
      <c r="B16" s="14" t="str">
        <f aca="false">IF(OR(B8="Sí",B9="Sí"),"Sí","No")</f>
        <v>Sí</v>
      </c>
    </row>
    <row r="18" customFormat="false" ht="48" hidden="false" customHeight="true" outlineLevel="0" collapsed="false">
      <c r="A18" s="15" t="str">
        <f aca="false">IF(OR(B16="Sí",B15&gt;=3),"Formulario completo obligatorio — talla probable M o superior",IF(B15&gt;=1,"Formulario completo recomendado — talla probable S–M","Vía rápida (XS–S) — no requiere formulario completo"))</f>
        <v>Formulario completo obligatorio — talla probable M o superior</v>
      </c>
      <c r="B18" s="15"/>
    </row>
    <row r="20" customFormat="false" ht="18" hidden="false" customHeight="true" outlineLevel="0" collapsed="false">
      <c r="A20" s="16" t="s">
        <v>56</v>
      </c>
      <c r="B20" s="16"/>
    </row>
    <row r="21" customFormat="false" ht="27.75" hidden="false" customHeight="true" outlineLevel="0" collapsed="false">
      <c r="A21" s="17" t="s">
        <v>57</v>
      </c>
      <c r="B21" s="17"/>
    </row>
    <row r="22" customFormat="false" ht="27.75" hidden="false" customHeight="true" outlineLevel="0" collapsed="false">
      <c r="A22" s="18" t="s">
        <v>58</v>
      </c>
      <c r="B22" s="18"/>
    </row>
    <row r="23" customFormat="false" ht="27.75" hidden="false" customHeight="true" outlineLevel="0" collapsed="false">
      <c r="A23" s="19" t="s">
        <v>59</v>
      </c>
      <c r="B23" s="19"/>
    </row>
  </sheetData>
  <mergeCells count="6">
    <mergeCell ref="A1:B1"/>
    <mergeCell ref="A2:B2"/>
    <mergeCell ref="A5:B5"/>
    <mergeCell ref="A14:B14"/>
    <mergeCell ref="A18:B18"/>
    <mergeCell ref="A20:B20"/>
  </mergeCells>
  <conditionalFormatting sqref="A18">
    <cfRule type="containsText" priority="2" operator="containsText" aboveAverage="0" equalAverage="0" bottom="0" percent="0" rank="0" text="VÍA RÁPIDA" dxfId="0">
      <formula>NOT(ISERROR(SEARCH("VÍA RÁPIDA",A18)))</formula>
    </cfRule>
    <cfRule type="containsText" priority="3" operator="containsText" aboveAverage="0" equalAverage="0" bottom="0" percent="0" rank="0" text="recomendado" dxfId="1">
      <formula>NOT(ISERROR(SEARCH("recomendado",A18)))</formula>
    </cfRule>
    <cfRule type="containsText" priority="4" operator="containsText" aboveAverage="0" equalAverage="0" bottom="0" percent="0" rank="0" text="obligatorio" dxfId="2">
      <formula>NOT(ISERROR(SEARCH("obligatorio",A18)))</formula>
    </cfRule>
  </conditionalFormatting>
  <dataValidations count="1">
    <dataValidation allowBlank="true" errorStyle="stop" operator="between" showDropDown="false" showErrorMessage="true" showInputMessage="true" sqref="B7:B12" type="list">
      <formula1>"Sí,No"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9.75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40"/>
    <col collapsed="false" customWidth="true" hidden="false" outlineLevel="0" max="10" min="10" style="0" width="27.62"/>
  </cols>
  <sheetData>
    <row r="1" customFormat="false" ht="27.7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customFormat="false" ht="14.25" hidden="false" customHeight="fals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14.25" hidden="false" customHeight="false" outlineLevel="0" collapsed="false">
      <c r="A3" s="21" t="s">
        <v>61</v>
      </c>
      <c r="B3" s="21" t="s">
        <v>21</v>
      </c>
      <c r="C3" s="21" t="s">
        <v>62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customFormat="false" ht="23.85" hidden="false" customHeight="false" outlineLevel="0" collapsed="false">
      <c r="A4" s="22" t="s">
        <v>63</v>
      </c>
      <c r="B4" s="23" t="s">
        <v>64</v>
      </c>
      <c r="C4" s="24" t="s">
        <v>65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customFormat="false" ht="23.85" hidden="false" customHeight="false" outlineLevel="0" collapsed="false">
      <c r="A5" s="24" t="s">
        <v>66</v>
      </c>
      <c r="B5" s="23" t="s">
        <v>67</v>
      </c>
      <c r="C5" s="24" t="s">
        <v>68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customFormat="false" ht="14.25" hidden="false" customHeight="false" outlineLevel="0" collapsed="false">
      <c r="A6" s="24" t="s">
        <v>69</v>
      </c>
      <c r="B6" s="23" t="s">
        <v>70</v>
      </c>
      <c r="C6" s="24" t="s">
        <v>71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customFormat="false" ht="14.25" hidden="false" customHeight="false" outlineLevel="0" collapsed="false">
      <c r="A7" s="24" t="s">
        <v>72</v>
      </c>
      <c r="B7" s="23" t="s">
        <v>73</v>
      </c>
      <c r="C7" s="24" t="s">
        <v>74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customFormat="false" ht="14.25" hidden="false" customHeight="false" outlineLevel="0" collapsed="false">
      <c r="A8" s="24" t="s">
        <v>75</v>
      </c>
      <c r="B8" s="23" t="n">
        <v>9</v>
      </c>
      <c r="C8" s="24" t="s">
        <v>76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customFormat="false" ht="23.85" hidden="false" customHeight="false" outlineLevel="0" collapsed="false">
      <c r="A9" s="24" t="s">
        <v>77</v>
      </c>
      <c r="B9" s="23" t="s">
        <v>78</v>
      </c>
      <c r="C9" s="24" t="s">
        <v>79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customFormat="false" ht="14.25" hidden="false" customHeight="fals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customFormat="false" ht="23.85" hidden="false" customHeight="false" outlineLevel="0" collapsed="false">
      <c r="A11" s="4" t="s">
        <v>80</v>
      </c>
      <c r="B11" s="4" t="s">
        <v>81</v>
      </c>
      <c r="C11" s="4" t="s">
        <v>43</v>
      </c>
      <c r="D11" s="4" t="s">
        <v>44</v>
      </c>
      <c r="E11" s="4" t="s">
        <v>82</v>
      </c>
      <c r="F11" s="4" t="s">
        <v>83</v>
      </c>
      <c r="G11" s="4" t="s">
        <v>84</v>
      </c>
      <c r="H11" s="4" t="s">
        <v>85</v>
      </c>
      <c r="I11" s="4" t="s">
        <v>86</v>
      </c>
      <c r="J11" s="4" t="s">
        <v>87</v>
      </c>
      <c r="K11" s="4" t="s">
        <v>88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customFormat="false" ht="23.85" hidden="false" customHeight="false" outlineLevel="0" collapsed="false">
      <c r="A12" s="25" t="s">
        <v>89</v>
      </c>
      <c r="B12" s="25" t="s">
        <v>90</v>
      </c>
      <c r="C12" s="25" t="s">
        <v>91</v>
      </c>
      <c r="D12" s="25" t="s">
        <v>92</v>
      </c>
      <c r="E12" s="25" t="n">
        <v>2</v>
      </c>
      <c r="F12" s="26" t="n">
        <f aca="false">IFERROR(VALUE(LEFT(D12,1)),0)</f>
        <v>3</v>
      </c>
      <c r="G12" s="25" t="n">
        <f aca="false">F12*E12</f>
        <v>6</v>
      </c>
      <c r="H12" s="25" t="n">
        <f aca="false">4*E12</f>
        <v>8</v>
      </c>
      <c r="I12" s="25"/>
      <c r="J12" s="25" t="str">
        <f aca="false">IF(F12&gt;=3,"Requiere validación especial","")</f>
        <v>Requiere validación especial</v>
      </c>
      <c r="K12" s="20" t="s">
        <v>93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customFormat="false" ht="23.85" hidden="false" customHeight="false" outlineLevel="0" collapsed="false">
      <c r="A13" s="25" t="s">
        <v>94</v>
      </c>
      <c r="B13" s="25" t="s">
        <v>90</v>
      </c>
      <c r="C13" s="25" t="s">
        <v>95</v>
      </c>
      <c r="D13" s="25" t="s">
        <v>92</v>
      </c>
      <c r="E13" s="25" t="n">
        <v>3</v>
      </c>
      <c r="F13" s="26" t="n">
        <f aca="false">IFERROR(VALUE(LEFT(D13,1)),0)</f>
        <v>3</v>
      </c>
      <c r="G13" s="25" t="n">
        <f aca="false">F13*E13</f>
        <v>9</v>
      </c>
      <c r="H13" s="25" t="n">
        <f aca="false">4*E13</f>
        <v>12</v>
      </c>
      <c r="I13" s="25"/>
      <c r="J13" s="25" t="str">
        <f aca="false">IF(F13&gt;=3,"Requiere validación especial","")</f>
        <v>Requiere validación especial</v>
      </c>
      <c r="K13" s="20" t="s">
        <v>93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customFormat="false" ht="23.85" hidden="false" customHeight="false" outlineLevel="0" collapsed="false">
      <c r="A14" s="25" t="s">
        <v>96</v>
      </c>
      <c r="B14" s="25" t="s">
        <v>90</v>
      </c>
      <c r="C14" s="25" t="s">
        <v>97</v>
      </c>
      <c r="D14" s="25" t="s">
        <v>98</v>
      </c>
      <c r="E14" s="25" t="n">
        <v>2</v>
      </c>
      <c r="F14" s="26" t="n">
        <f aca="false">IFERROR(VALUE(LEFT(D14,1)),0)</f>
        <v>2</v>
      </c>
      <c r="G14" s="25" t="n">
        <f aca="false">F14*E14</f>
        <v>4</v>
      </c>
      <c r="H14" s="25" t="n">
        <f aca="false">4*E14</f>
        <v>8</v>
      </c>
      <c r="I14" s="25"/>
      <c r="J14" s="25" t="str">
        <f aca="false">IF(F14&gt;=3,"Requiere validación especial","")</f>
        <v/>
      </c>
      <c r="K14" s="20" t="s">
        <v>93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customFormat="false" ht="14.25" hidden="false" customHeight="false" outlineLevel="0" collapsed="false">
      <c r="A15" s="25" t="s">
        <v>99</v>
      </c>
      <c r="B15" s="25" t="s">
        <v>90</v>
      </c>
      <c r="C15" s="25" t="s">
        <v>100</v>
      </c>
      <c r="D15" s="25" t="s">
        <v>101</v>
      </c>
      <c r="E15" s="25" t="n">
        <v>1</v>
      </c>
      <c r="F15" s="26" t="n">
        <f aca="false">IFERROR(VALUE(LEFT(D15,1)),0)</f>
        <v>2</v>
      </c>
      <c r="G15" s="25" t="n">
        <f aca="false">F15*E15</f>
        <v>2</v>
      </c>
      <c r="H15" s="25" t="n">
        <f aca="false">4*E15</f>
        <v>4</v>
      </c>
      <c r="I15" s="25"/>
      <c r="J15" s="25" t="str">
        <f aca="false">IF(F15&gt;=3,"Requiere validación especial","")</f>
        <v/>
      </c>
      <c r="K15" s="20" t="s">
        <v>102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customFormat="false" ht="14.25" hidden="false" customHeight="false" outlineLevel="0" collapsed="false">
      <c r="A16" s="25" t="s">
        <v>103</v>
      </c>
      <c r="B16" s="25" t="s">
        <v>104</v>
      </c>
      <c r="C16" s="25" t="s">
        <v>105</v>
      </c>
      <c r="D16" s="25" t="s">
        <v>92</v>
      </c>
      <c r="E16" s="25" t="n">
        <v>3</v>
      </c>
      <c r="F16" s="26" t="n">
        <f aca="false">IFERROR(VALUE(LEFT(D16,1)),0)</f>
        <v>3</v>
      </c>
      <c r="G16" s="25" t="n">
        <f aca="false">F16*E16</f>
        <v>9</v>
      </c>
      <c r="H16" s="25" t="n">
        <f aca="false">4*E16</f>
        <v>12</v>
      </c>
      <c r="I16" s="25"/>
      <c r="J16" s="25" t="str">
        <f aca="false">IF(F16&gt;=3,"Requiere validación especial","")</f>
        <v>Requiere validación especial</v>
      </c>
      <c r="K16" s="20" t="s">
        <v>93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customFormat="false" ht="23.85" hidden="false" customHeight="false" outlineLevel="0" collapsed="false">
      <c r="A17" s="25" t="s">
        <v>106</v>
      </c>
      <c r="B17" s="25" t="s">
        <v>104</v>
      </c>
      <c r="C17" s="25" t="s">
        <v>107</v>
      </c>
      <c r="D17" s="25" t="s">
        <v>108</v>
      </c>
      <c r="E17" s="25" t="n">
        <v>2</v>
      </c>
      <c r="F17" s="26" t="n">
        <f aca="false">IFERROR(VALUE(LEFT(D17,1)),0)</f>
        <v>2</v>
      </c>
      <c r="G17" s="25" t="n">
        <f aca="false">F17*E17</f>
        <v>4</v>
      </c>
      <c r="H17" s="25" t="n">
        <f aca="false">4*E17</f>
        <v>8</v>
      </c>
      <c r="I17" s="25"/>
      <c r="J17" s="25" t="str">
        <f aca="false">IF(F17&gt;=3,"Requiere validación especial","")</f>
        <v/>
      </c>
      <c r="K17" s="20" t="s">
        <v>102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customFormat="false" ht="23.85" hidden="false" customHeight="false" outlineLevel="0" collapsed="false">
      <c r="A18" s="25" t="s">
        <v>109</v>
      </c>
      <c r="B18" s="25" t="s">
        <v>104</v>
      </c>
      <c r="C18" s="25" t="s">
        <v>110</v>
      </c>
      <c r="D18" s="25" t="s">
        <v>98</v>
      </c>
      <c r="E18" s="25" t="n">
        <v>2</v>
      </c>
      <c r="F18" s="26" t="n">
        <f aca="false">IFERROR(VALUE(LEFT(D18,1)),0)</f>
        <v>2</v>
      </c>
      <c r="G18" s="25" t="n">
        <f aca="false">F18*E18</f>
        <v>4</v>
      </c>
      <c r="H18" s="25" t="n">
        <f aca="false">4*E18</f>
        <v>8</v>
      </c>
      <c r="I18" s="25"/>
      <c r="J18" s="25" t="str">
        <f aca="false">IF(F18&gt;=3,"Requiere validación especial","")</f>
        <v/>
      </c>
      <c r="K18" s="20" t="s">
        <v>93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customFormat="false" ht="14.25" hidden="false" customHeight="false" outlineLevel="0" collapsed="false">
      <c r="A19" s="25" t="s">
        <v>111</v>
      </c>
      <c r="B19" s="25" t="s">
        <v>104</v>
      </c>
      <c r="C19" s="25" t="s">
        <v>112</v>
      </c>
      <c r="D19" s="25" t="s">
        <v>92</v>
      </c>
      <c r="E19" s="25" t="n">
        <v>3</v>
      </c>
      <c r="F19" s="26" t="n">
        <f aca="false">IFERROR(VALUE(LEFT(D19,1)),0)</f>
        <v>3</v>
      </c>
      <c r="G19" s="25" t="n">
        <f aca="false">F19*E19</f>
        <v>9</v>
      </c>
      <c r="H19" s="25" t="n">
        <f aca="false">4*E19</f>
        <v>12</v>
      </c>
      <c r="I19" s="25"/>
      <c r="J19" s="25" t="str">
        <f aca="false">IF(F19&gt;=3,"Requiere validación especial","")</f>
        <v>Requiere validación especial</v>
      </c>
      <c r="K19" s="20" t="s">
        <v>93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customFormat="false" ht="14.25" hidden="false" customHeight="false" outlineLevel="0" collapsed="false">
      <c r="A20" s="25" t="s">
        <v>113</v>
      </c>
      <c r="B20" s="25" t="s">
        <v>114</v>
      </c>
      <c r="C20" s="25" t="s">
        <v>115</v>
      </c>
      <c r="D20" s="25" t="s">
        <v>116</v>
      </c>
      <c r="E20" s="25" t="n">
        <v>3</v>
      </c>
      <c r="F20" s="26" t="n">
        <f aca="false">IFERROR(VALUE(LEFT(D20,1)),0)</f>
        <v>3</v>
      </c>
      <c r="G20" s="25" t="n">
        <f aca="false">F20*E20</f>
        <v>9</v>
      </c>
      <c r="H20" s="25" t="n">
        <f aca="false">4*E20</f>
        <v>12</v>
      </c>
      <c r="I20" s="25"/>
      <c r="J20" s="25" t="str">
        <f aca="false">IF(F20&gt;=3,"Requiere validación especial","")</f>
        <v>Requiere validación especial</v>
      </c>
      <c r="K20" s="20" t="s">
        <v>102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customFormat="false" ht="23.85" hidden="false" customHeight="false" outlineLevel="0" collapsed="false">
      <c r="A21" s="25" t="s">
        <v>117</v>
      </c>
      <c r="B21" s="25" t="s">
        <v>114</v>
      </c>
      <c r="C21" s="25" t="s">
        <v>118</v>
      </c>
      <c r="D21" s="25" t="s">
        <v>119</v>
      </c>
      <c r="E21" s="25" t="n">
        <v>3</v>
      </c>
      <c r="F21" s="26" t="n">
        <f aca="false">IFERROR(VALUE(LEFT(D21,1)),0)</f>
        <v>3</v>
      </c>
      <c r="G21" s="25" t="n">
        <f aca="false">F21*E21</f>
        <v>9</v>
      </c>
      <c r="H21" s="25" t="n">
        <f aca="false">4*E21</f>
        <v>12</v>
      </c>
      <c r="I21" s="25"/>
      <c r="J21" s="25" t="str">
        <f aca="false">IF(F21&gt;=3,"Requiere validación especial","")</f>
        <v>Requiere validación especial</v>
      </c>
      <c r="K21" s="20" t="s">
        <v>102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customFormat="false" ht="23.85" hidden="false" customHeight="false" outlineLevel="0" collapsed="false">
      <c r="A22" s="25" t="s">
        <v>120</v>
      </c>
      <c r="B22" s="25" t="s">
        <v>114</v>
      </c>
      <c r="C22" s="25" t="s">
        <v>121</v>
      </c>
      <c r="D22" s="25" t="s">
        <v>122</v>
      </c>
      <c r="E22" s="25" t="n">
        <v>2</v>
      </c>
      <c r="F22" s="26" t="n">
        <f aca="false">IFERROR(VALUE(LEFT(D22,1)),0)</f>
        <v>2</v>
      </c>
      <c r="G22" s="25" t="n">
        <f aca="false">F22*E22</f>
        <v>4</v>
      </c>
      <c r="H22" s="25" t="n">
        <f aca="false">4*E22</f>
        <v>8</v>
      </c>
      <c r="I22" s="25"/>
      <c r="J22" s="25" t="str">
        <f aca="false">IF(F22&gt;=3,"Requiere validación especial","")</f>
        <v/>
      </c>
      <c r="K22" s="20" t="s">
        <v>102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customFormat="false" ht="14.25" hidden="false" customHeight="false" outlineLevel="0" collapsed="false">
      <c r="A23" s="25" t="s">
        <v>123</v>
      </c>
      <c r="B23" s="25" t="s">
        <v>114</v>
      </c>
      <c r="C23" s="25" t="s">
        <v>124</v>
      </c>
      <c r="D23" s="25" t="s">
        <v>125</v>
      </c>
      <c r="E23" s="25" t="n">
        <v>2</v>
      </c>
      <c r="F23" s="26" t="n">
        <f aca="false">IFERROR(VALUE(LEFT(D23,1)),0)</f>
        <v>2</v>
      </c>
      <c r="G23" s="25" t="n">
        <f aca="false">F23*E23</f>
        <v>4</v>
      </c>
      <c r="H23" s="25" t="n">
        <f aca="false">4*E23</f>
        <v>8</v>
      </c>
      <c r="I23" s="25"/>
      <c r="J23" s="25" t="str">
        <f aca="false">IF(F23&gt;=3,"Requiere validación especial","")</f>
        <v/>
      </c>
      <c r="K23" s="20" t="s">
        <v>102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customFormat="false" ht="23.85" hidden="false" customHeight="false" outlineLevel="0" collapsed="false">
      <c r="A24" s="25" t="s">
        <v>126</v>
      </c>
      <c r="B24" s="25" t="s">
        <v>127</v>
      </c>
      <c r="C24" s="25" t="s">
        <v>128</v>
      </c>
      <c r="D24" s="25" t="s">
        <v>129</v>
      </c>
      <c r="E24" s="25" t="n">
        <v>3</v>
      </c>
      <c r="F24" s="26" t="n">
        <f aca="false">IFERROR(VALUE(LEFT(D24,1)),0)</f>
        <v>4</v>
      </c>
      <c r="G24" s="25" t="n">
        <f aca="false">F24*E24</f>
        <v>12</v>
      </c>
      <c r="H24" s="25" t="n">
        <f aca="false">4*E24</f>
        <v>12</v>
      </c>
      <c r="I24" s="25"/>
      <c r="J24" s="25" t="str">
        <f aca="false">IF(F24&gt;=3,"Requiere validación especial","")</f>
        <v>Requiere validación especial</v>
      </c>
      <c r="K24" s="20" t="s">
        <v>93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customFormat="false" ht="23.85" hidden="false" customHeight="false" outlineLevel="0" collapsed="false">
      <c r="A25" s="25" t="s">
        <v>130</v>
      </c>
      <c r="B25" s="25" t="s">
        <v>127</v>
      </c>
      <c r="C25" s="25" t="s">
        <v>131</v>
      </c>
      <c r="D25" s="25" t="s">
        <v>92</v>
      </c>
      <c r="E25" s="25" t="n">
        <v>3</v>
      </c>
      <c r="F25" s="26" t="n">
        <f aca="false">IFERROR(VALUE(LEFT(D25,1)),0)</f>
        <v>3</v>
      </c>
      <c r="G25" s="25" t="n">
        <f aca="false">F25*E25</f>
        <v>9</v>
      </c>
      <c r="H25" s="25" t="n">
        <f aca="false">4*E25</f>
        <v>12</v>
      </c>
      <c r="I25" s="25"/>
      <c r="J25" s="25" t="str">
        <f aca="false">IF(F25&gt;=3,"Requiere validación especial","")</f>
        <v>Requiere validación especial</v>
      </c>
      <c r="K25" s="20" t="s">
        <v>93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customFormat="false" ht="23.85" hidden="false" customHeight="false" outlineLevel="0" collapsed="false">
      <c r="A26" s="25" t="s">
        <v>132</v>
      </c>
      <c r="B26" s="25" t="s">
        <v>127</v>
      </c>
      <c r="C26" s="25" t="s">
        <v>133</v>
      </c>
      <c r="D26" s="25" t="s">
        <v>98</v>
      </c>
      <c r="E26" s="25" t="n">
        <v>2</v>
      </c>
      <c r="F26" s="26" t="n">
        <f aca="false">IFERROR(VALUE(LEFT(D26,1)),0)</f>
        <v>2</v>
      </c>
      <c r="G26" s="25" t="n">
        <f aca="false">F26*E26</f>
        <v>4</v>
      </c>
      <c r="H26" s="25" t="n">
        <f aca="false">4*E26</f>
        <v>8</v>
      </c>
      <c r="I26" s="25"/>
      <c r="J26" s="25" t="str">
        <f aca="false">IF(F26&gt;=3,"Requiere validación especial","")</f>
        <v/>
      </c>
      <c r="K26" s="20" t="s">
        <v>93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customFormat="false" ht="23.85" hidden="false" customHeight="false" outlineLevel="0" collapsed="false">
      <c r="A27" s="25" t="s">
        <v>134</v>
      </c>
      <c r="B27" s="25" t="s">
        <v>127</v>
      </c>
      <c r="C27" s="25" t="s">
        <v>135</v>
      </c>
      <c r="D27" s="25" t="s">
        <v>92</v>
      </c>
      <c r="E27" s="25" t="n">
        <v>3</v>
      </c>
      <c r="F27" s="26" t="n">
        <f aca="false">IFERROR(VALUE(LEFT(D27,1)),0)</f>
        <v>3</v>
      </c>
      <c r="G27" s="25" t="n">
        <f aca="false">F27*E27</f>
        <v>9</v>
      </c>
      <c r="H27" s="25" t="n">
        <f aca="false">4*E27</f>
        <v>12</v>
      </c>
      <c r="I27" s="25"/>
      <c r="J27" s="25" t="str">
        <f aca="false">IF(F27&gt;=3,"Requiere validación especial","")</f>
        <v>Requiere validación especial</v>
      </c>
      <c r="K27" s="20" t="s">
        <v>93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customFormat="false" ht="23.85" hidden="false" customHeight="false" outlineLevel="0" collapsed="false">
      <c r="A28" s="25" t="s">
        <v>136</v>
      </c>
      <c r="B28" s="25" t="s">
        <v>127</v>
      </c>
      <c r="C28" s="25" t="s">
        <v>137</v>
      </c>
      <c r="D28" s="25" t="s">
        <v>98</v>
      </c>
      <c r="E28" s="25" t="n">
        <v>2</v>
      </c>
      <c r="F28" s="26" t="n">
        <f aca="false">IFERROR(VALUE(LEFT(D28,1)),0)</f>
        <v>2</v>
      </c>
      <c r="G28" s="25" t="n">
        <f aca="false">F28*E28</f>
        <v>4</v>
      </c>
      <c r="H28" s="25" t="n">
        <f aca="false">4*E28</f>
        <v>8</v>
      </c>
      <c r="I28" s="25"/>
      <c r="J28" s="25" t="str">
        <f aca="false">IF(F28&gt;=3,"Requiere validación especial","")</f>
        <v/>
      </c>
      <c r="K28" s="20" t="s">
        <v>93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customFormat="false" ht="14.25" hidden="false" customHeight="false" outlineLevel="0" collapsed="false">
      <c r="A29" s="25" t="s">
        <v>138</v>
      </c>
      <c r="B29" s="25" t="s">
        <v>139</v>
      </c>
      <c r="C29" s="25" t="s">
        <v>140</v>
      </c>
      <c r="D29" s="25" t="s">
        <v>92</v>
      </c>
      <c r="E29" s="25" t="n">
        <v>3</v>
      </c>
      <c r="F29" s="26" t="n">
        <f aca="false">IFERROR(VALUE(LEFT(D29,1)),0)</f>
        <v>3</v>
      </c>
      <c r="G29" s="25" t="n">
        <f aca="false">F29*E29</f>
        <v>9</v>
      </c>
      <c r="H29" s="25" t="n">
        <f aca="false">4*E29</f>
        <v>12</v>
      </c>
      <c r="I29" s="25"/>
      <c r="J29" s="25" t="str">
        <f aca="false">IF(F29&gt;=3,"Requiere validación especial","")</f>
        <v>Requiere validación especial</v>
      </c>
      <c r="K29" s="20" t="s">
        <v>93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customFormat="false" ht="23.85" hidden="false" customHeight="false" outlineLevel="0" collapsed="false">
      <c r="A30" s="25" t="s">
        <v>141</v>
      </c>
      <c r="B30" s="25" t="s">
        <v>139</v>
      </c>
      <c r="C30" s="25" t="s">
        <v>142</v>
      </c>
      <c r="D30" s="25" t="s">
        <v>98</v>
      </c>
      <c r="E30" s="25" t="n">
        <v>3</v>
      </c>
      <c r="F30" s="26" t="n">
        <f aca="false">IFERROR(VALUE(LEFT(D30,1)),0)</f>
        <v>2</v>
      </c>
      <c r="G30" s="25" t="n">
        <f aca="false">F30*E30</f>
        <v>6</v>
      </c>
      <c r="H30" s="25" t="n">
        <f aca="false">4*E30</f>
        <v>12</v>
      </c>
      <c r="I30" s="25"/>
      <c r="J30" s="25" t="str">
        <f aca="false">IF(F30&gt;=3,"Requiere validación especial","")</f>
        <v/>
      </c>
      <c r="K30" s="20" t="s">
        <v>93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customFormat="false" ht="23.85" hidden="false" customHeight="false" outlineLevel="0" collapsed="false">
      <c r="A31" s="25" t="s">
        <v>143</v>
      </c>
      <c r="B31" s="25" t="s">
        <v>139</v>
      </c>
      <c r="C31" s="25" t="s">
        <v>144</v>
      </c>
      <c r="D31" s="25" t="s">
        <v>92</v>
      </c>
      <c r="E31" s="25" t="n">
        <v>3</v>
      </c>
      <c r="F31" s="26" t="n">
        <f aca="false">IFERROR(VALUE(LEFT(D31,1)),0)</f>
        <v>3</v>
      </c>
      <c r="G31" s="25" t="n">
        <f aca="false">F31*E31</f>
        <v>9</v>
      </c>
      <c r="H31" s="25" t="n">
        <f aca="false">4*E31</f>
        <v>12</v>
      </c>
      <c r="I31" s="25"/>
      <c r="J31" s="25" t="str">
        <f aca="false">IF(F31&gt;=3,"Requiere validación especial","")</f>
        <v>Requiere validación especial</v>
      </c>
      <c r="K31" s="20" t="s">
        <v>93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23.85" hidden="false" customHeight="false" outlineLevel="0" collapsed="false">
      <c r="A32" s="25" t="s">
        <v>145</v>
      </c>
      <c r="B32" s="25" t="s">
        <v>139</v>
      </c>
      <c r="C32" s="25" t="s">
        <v>146</v>
      </c>
      <c r="D32" s="25" t="s">
        <v>98</v>
      </c>
      <c r="E32" s="25" t="n">
        <v>2</v>
      </c>
      <c r="F32" s="26" t="n">
        <f aca="false">IFERROR(VALUE(LEFT(D32,1)),0)</f>
        <v>2</v>
      </c>
      <c r="G32" s="25" t="n">
        <f aca="false">F32*E32</f>
        <v>4</v>
      </c>
      <c r="H32" s="25" t="n">
        <f aca="false">4*E32</f>
        <v>8</v>
      </c>
      <c r="I32" s="25"/>
      <c r="J32" s="25" t="str">
        <f aca="false">IF(F32&gt;=3,"Requiere validación especial","")</f>
        <v/>
      </c>
      <c r="K32" s="20" t="s">
        <v>93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23.85" hidden="false" customHeight="false" outlineLevel="0" collapsed="false">
      <c r="A33" s="25" t="s">
        <v>147</v>
      </c>
      <c r="B33" s="25" t="s">
        <v>139</v>
      </c>
      <c r="C33" s="25" t="s">
        <v>148</v>
      </c>
      <c r="D33" s="25" t="s">
        <v>98</v>
      </c>
      <c r="E33" s="25" t="n">
        <v>2</v>
      </c>
      <c r="F33" s="26" t="n">
        <f aca="false">IFERROR(VALUE(LEFT(D33,1)),0)</f>
        <v>2</v>
      </c>
      <c r="G33" s="25" t="n">
        <f aca="false">F33*E33</f>
        <v>4</v>
      </c>
      <c r="H33" s="25" t="n">
        <f aca="false">4*E33</f>
        <v>8</v>
      </c>
      <c r="I33" s="25"/>
      <c r="J33" s="25" t="str">
        <f aca="false">IF(F33&gt;=3,"Requiere validación especial","")</f>
        <v/>
      </c>
      <c r="K33" s="20" t="s">
        <v>93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23.85" hidden="false" customHeight="false" outlineLevel="0" collapsed="false">
      <c r="A34" s="25" t="s">
        <v>149</v>
      </c>
      <c r="B34" s="25" t="s">
        <v>150</v>
      </c>
      <c r="C34" s="25" t="s">
        <v>151</v>
      </c>
      <c r="D34" s="25" t="s">
        <v>98</v>
      </c>
      <c r="E34" s="25" t="n">
        <v>2</v>
      </c>
      <c r="F34" s="26" t="n">
        <f aca="false">IFERROR(VALUE(LEFT(D34,1)),0)</f>
        <v>2</v>
      </c>
      <c r="G34" s="25" t="n">
        <f aca="false">F34*E34</f>
        <v>4</v>
      </c>
      <c r="H34" s="25" t="n">
        <f aca="false">4*E34</f>
        <v>8</v>
      </c>
      <c r="I34" s="25"/>
      <c r="J34" s="25" t="str">
        <f aca="false">IF(F34&gt;=3,"Requiere validación especial","")</f>
        <v/>
      </c>
      <c r="K34" s="20" t="s">
        <v>93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23.85" hidden="false" customHeight="false" outlineLevel="0" collapsed="false">
      <c r="A35" s="25" t="s">
        <v>152</v>
      </c>
      <c r="B35" s="25" t="s">
        <v>150</v>
      </c>
      <c r="C35" s="25" t="s">
        <v>153</v>
      </c>
      <c r="D35" s="25" t="s">
        <v>98</v>
      </c>
      <c r="E35" s="25" t="n">
        <v>2</v>
      </c>
      <c r="F35" s="26" t="n">
        <f aca="false">IFERROR(VALUE(LEFT(D35,1)),0)</f>
        <v>2</v>
      </c>
      <c r="G35" s="25" t="n">
        <f aca="false">F35*E35</f>
        <v>4</v>
      </c>
      <c r="H35" s="25" t="n">
        <f aca="false">4*E35</f>
        <v>8</v>
      </c>
      <c r="I35" s="25"/>
      <c r="J35" s="25" t="str">
        <f aca="false">IF(F35&gt;=3,"Requiere validación especial","")</f>
        <v/>
      </c>
      <c r="K35" s="20" t="s">
        <v>93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23.85" hidden="false" customHeight="false" outlineLevel="0" collapsed="false">
      <c r="A36" s="25" t="s">
        <v>154</v>
      </c>
      <c r="B36" s="25" t="s">
        <v>150</v>
      </c>
      <c r="C36" s="25" t="s">
        <v>155</v>
      </c>
      <c r="D36" s="25" t="s">
        <v>129</v>
      </c>
      <c r="E36" s="25" t="n">
        <v>3</v>
      </c>
      <c r="F36" s="26" t="n">
        <f aca="false">IFERROR(VALUE(LEFT(D36,1)),0)</f>
        <v>4</v>
      </c>
      <c r="G36" s="25" t="n">
        <f aca="false">F36*E36</f>
        <v>12</v>
      </c>
      <c r="H36" s="25" t="n">
        <f aca="false">4*E36</f>
        <v>12</v>
      </c>
      <c r="I36" s="25"/>
      <c r="J36" s="25" t="str">
        <f aca="false">IF(F36&gt;=3,"Requiere validación especial","")</f>
        <v>Requiere validación especial</v>
      </c>
      <c r="K36" s="20" t="s">
        <v>93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23.85" hidden="false" customHeight="false" outlineLevel="0" collapsed="false">
      <c r="A37" s="25" t="s">
        <v>156</v>
      </c>
      <c r="B37" s="25" t="s">
        <v>150</v>
      </c>
      <c r="C37" s="25" t="s">
        <v>157</v>
      </c>
      <c r="D37" s="25" t="s">
        <v>98</v>
      </c>
      <c r="E37" s="25" t="n">
        <v>2</v>
      </c>
      <c r="F37" s="26" t="n">
        <f aca="false">IFERROR(VALUE(LEFT(D37,1)),0)</f>
        <v>2</v>
      </c>
      <c r="G37" s="25" t="n">
        <f aca="false">F37*E37</f>
        <v>4</v>
      </c>
      <c r="H37" s="25" t="n">
        <f aca="false">4*E37</f>
        <v>8</v>
      </c>
      <c r="I37" s="25"/>
      <c r="J37" s="25" t="str">
        <f aca="false">IF(F37&gt;=3,"Requiere validación especial","")</f>
        <v/>
      </c>
      <c r="K37" s="20" t="s">
        <v>93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23.85" hidden="false" customHeight="false" outlineLevel="0" collapsed="false">
      <c r="A38" s="25" t="s">
        <v>158</v>
      </c>
      <c r="B38" s="25" t="s">
        <v>159</v>
      </c>
      <c r="C38" s="25" t="s">
        <v>160</v>
      </c>
      <c r="D38" s="25" t="s">
        <v>98</v>
      </c>
      <c r="E38" s="25" t="n">
        <v>2</v>
      </c>
      <c r="F38" s="26" t="n">
        <f aca="false">IFERROR(VALUE(LEFT(D38,1)),0)</f>
        <v>2</v>
      </c>
      <c r="G38" s="25" t="n">
        <f aca="false">F38*E38</f>
        <v>4</v>
      </c>
      <c r="H38" s="25" t="n">
        <f aca="false">4*E38</f>
        <v>8</v>
      </c>
      <c r="I38" s="25"/>
      <c r="J38" s="25" t="str">
        <f aca="false">IF(F38&gt;=3,"Requiere validación especial","")</f>
        <v/>
      </c>
      <c r="K38" s="20" t="s">
        <v>93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23.85" hidden="false" customHeight="false" outlineLevel="0" collapsed="false">
      <c r="A39" s="25" t="s">
        <v>161</v>
      </c>
      <c r="B39" s="25" t="s">
        <v>159</v>
      </c>
      <c r="C39" s="25" t="s">
        <v>162</v>
      </c>
      <c r="D39" s="25" t="s">
        <v>92</v>
      </c>
      <c r="E39" s="25" t="n">
        <v>2</v>
      </c>
      <c r="F39" s="26" t="n">
        <f aca="false">IFERROR(VALUE(LEFT(D39,1)),0)</f>
        <v>3</v>
      </c>
      <c r="G39" s="25" t="n">
        <f aca="false">F39*E39</f>
        <v>6</v>
      </c>
      <c r="H39" s="25" t="n">
        <f aca="false">4*E39</f>
        <v>8</v>
      </c>
      <c r="I39" s="25"/>
      <c r="J39" s="25" t="str">
        <f aca="false">IF(F39&gt;=3,"Requiere validación especial","")</f>
        <v>Requiere validación especial</v>
      </c>
      <c r="K39" s="20" t="s">
        <v>93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14.25" hidden="false" customHeight="false" outlineLevel="0" collapsed="false">
      <c r="A40" s="25" t="s">
        <v>163</v>
      </c>
      <c r="B40" s="25" t="s">
        <v>159</v>
      </c>
      <c r="C40" s="25" t="s">
        <v>164</v>
      </c>
      <c r="D40" s="25" t="s">
        <v>98</v>
      </c>
      <c r="E40" s="25" t="n">
        <v>1</v>
      </c>
      <c r="F40" s="26" t="n">
        <f aca="false">IFERROR(VALUE(LEFT(D40,1)),0)</f>
        <v>2</v>
      </c>
      <c r="G40" s="25" t="n">
        <f aca="false">F40*E40</f>
        <v>2</v>
      </c>
      <c r="H40" s="25" t="n">
        <f aca="false">4*E40</f>
        <v>4</v>
      </c>
      <c r="I40" s="25"/>
      <c r="J40" s="25" t="str">
        <f aca="false">IF(F40&gt;=3,"Requiere validación especial","")</f>
        <v/>
      </c>
      <c r="K40" s="20" t="s">
        <v>93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23.85" hidden="false" customHeight="false" outlineLevel="0" collapsed="false">
      <c r="A41" s="25" t="s">
        <v>165</v>
      </c>
      <c r="B41" s="25" t="s">
        <v>159</v>
      </c>
      <c r="C41" s="25" t="s">
        <v>166</v>
      </c>
      <c r="D41" s="25" t="s">
        <v>98</v>
      </c>
      <c r="E41" s="25" t="n">
        <v>2</v>
      </c>
      <c r="F41" s="26" t="n">
        <f aca="false">IFERROR(VALUE(LEFT(D41,1)),0)</f>
        <v>2</v>
      </c>
      <c r="G41" s="25" t="n">
        <f aca="false">F41*E41</f>
        <v>4</v>
      </c>
      <c r="H41" s="25" t="n">
        <f aca="false">4*E41</f>
        <v>8</v>
      </c>
      <c r="I41" s="25"/>
      <c r="J41" s="25" t="str">
        <f aca="false">IF(F41&gt;=3,"Requiere validación especial","")</f>
        <v/>
      </c>
      <c r="K41" s="20" t="s">
        <v>93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4.2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4.2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4.25" hidden="false" customHeight="true" outlineLevel="0" collapsed="false">
      <c r="A44" s="2" t="s">
        <v>167</v>
      </c>
      <c r="B44" s="2"/>
      <c r="C44" s="2"/>
      <c r="D44" s="2"/>
      <c r="E44" s="2"/>
      <c r="F44" s="2"/>
      <c r="G44" s="2"/>
      <c r="H44" s="2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4.25" hidden="false" customHeight="false" outlineLevel="0" collapsed="false">
      <c r="A45" s="4" t="s">
        <v>168</v>
      </c>
      <c r="B45" s="27" t="n">
        <f aca="false">SUM(G12:G41)</f>
        <v>183</v>
      </c>
      <c r="C45" s="20" t="s">
        <v>169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4.25" hidden="false" customHeight="false" outlineLevel="0" collapsed="false">
      <c r="A46" s="4" t="s">
        <v>170</v>
      </c>
      <c r="B46" s="27" t="n">
        <f aca="false">SUM(H12:H41)</f>
        <v>280</v>
      </c>
      <c r="C46" s="20" t="s">
        <v>171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23.85" hidden="false" customHeight="false" outlineLevel="0" collapsed="false">
      <c r="A47" s="4" t="s">
        <v>172</v>
      </c>
      <c r="B47" s="28" t="n">
        <f aca="false">IFERROR(B45/B46*100,0)</f>
        <v>65.3571428571429</v>
      </c>
      <c r="C47" s="20" t="s">
        <v>173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4.25" hidden="false" customHeight="false" outlineLevel="0" collapsed="false">
      <c r="A48" s="4" t="s">
        <v>174</v>
      </c>
      <c r="B48" s="27" t="str">
        <f aca="false">LOOKUP(B47,Reglas!$D$5:$D$9,Reglas!$F$5:$F$9)</f>
        <v>L</v>
      </c>
      <c r="C48" s="20" t="s">
        <v>175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4.2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4.2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4.2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4.2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4.2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customFormat="false" ht="14.2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customFormat="false" ht="14.2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customFormat="false" ht="14.2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customFormat="false" ht="14.2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customFormat="false" ht="14.2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customFormat="false" ht="14.2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customFormat="false" ht="14.2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customFormat="false" ht="14.2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customFormat="false" ht="14.2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customFormat="false" ht="14.2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customFormat="false" ht="14.2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customFormat="false" ht="14.2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customFormat="false" ht="14.2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customFormat="false" ht="14.2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customFormat="false" ht="14.2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customFormat="false" ht="14.2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customFormat="false" ht="14.2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customFormat="false" ht="14.2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customFormat="false" ht="14.2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customFormat="false" ht="14.2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customFormat="false" ht="14.2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customFormat="false" ht="14.2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customFormat="false" ht="14.2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customFormat="false" ht="14.2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customFormat="false" ht="14.2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customFormat="false" ht="14.2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customFormat="false" ht="14.2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customFormat="false" ht="14.2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customFormat="false" ht="14.2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customFormat="false" ht="14.2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customFormat="false" ht="14.2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customFormat="false" ht="14.2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customFormat="false" ht="14.2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customFormat="false" ht="14.2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customFormat="false" ht="14.2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customFormat="false" ht="14.2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customFormat="false" ht="14.2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customFormat="false" ht="14.2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customFormat="false" ht="14.2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customFormat="false" ht="14.2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customFormat="false" ht="14.2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customFormat="false" ht="14.2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customFormat="false" ht="14.2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customFormat="false" ht="14.2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customFormat="false" ht="14.2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customFormat="false" ht="14.2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customFormat="false" ht="14.2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customFormat="false" ht="14.2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customFormat="false" ht="14.2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customFormat="false" ht="14.2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customFormat="false" ht="14.2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customFormat="false" ht="14.2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customFormat="false" ht="14.2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customFormat="false" ht="14.2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customFormat="false" ht="14.2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customFormat="false" ht="14.2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customFormat="false" ht="14.2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customFormat="false" ht="14.2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customFormat="false" ht="14.2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customFormat="false" ht="14.2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customFormat="false" ht="14.2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customFormat="false" ht="14.2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customFormat="false" ht="14.2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customFormat="false" ht="14.2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customFormat="false" ht="14.2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customFormat="false" ht="14.2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customFormat="false" ht="14.2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customFormat="false" ht="14.2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customFormat="false" ht="14.2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customFormat="false" ht="14.2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customFormat="false" ht="14.2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customFormat="false" ht="14.2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customFormat="false" ht="14.2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customFormat="false" ht="14.2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customFormat="false" ht="14.2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customFormat="false" ht="14.2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customFormat="false" ht="14.2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customFormat="false" ht="14.2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customFormat="false" ht="14.2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customFormat="false" ht="14.2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customFormat="false" ht="14.2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customFormat="false" ht="14.2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customFormat="false" ht="14.2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customFormat="false" ht="14.2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customFormat="false" ht="14.2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customFormat="false" ht="14.2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customFormat="false" ht="14.2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customFormat="false" ht="14.2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customFormat="false" ht="14.2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customFormat="false" ht="14.2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customFormat="false" ht="14.2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customFormat="false" ht="14.2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customFormat="false" ht="14.2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customFormat="false" ht="14.2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customFormat="false" ht="14.2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customFormat="false" ht="14.2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customFormat="false" ht="14.2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customFormat="false" ht="14.2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customFormat="false" ht="14.2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customFormat="false" ht="14.2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customFormat="false" ht="14.2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customFormat="false" ht="14.2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customFormat="false" ht="14.2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customFormat="false" ht="14.2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customFormat="false" ht="14.2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customFormat="false" ht="14.2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customFormat="false" ht="14.2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customFormat="false" ht="14.2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customFormat="false" ht="14.2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customFormat="false" ht="14.2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customFormat="false" ht="14.2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customFormat="false" ht="14.2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customFormat="false" ht="14.2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customFormat="false" ht="14.2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customFormat="false" ht="14.2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customFormat="false" ht="14.2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customFormat="false" ht="14.2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customFormat="false" ht="14.2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customFormat="false" ht="14.2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customFormat="false" ht="14.2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customFormat="false" ht="14.2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customFormat="false" ht="14.2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customFormat="false" ht="14.2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customFormat="false" ht="14.2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customFormat="false" ht="14.2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customFormat="false" ht="14.2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customFormat="false" ht="14.2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customFormat="false" ht="14.2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customFormat="false" ht="14.2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customFormat="false" ht="14.2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customFormat="false" ht="14.2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customFormat="false" ht="14.2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customFormat="false" ht="14.2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customFormat="false" ht="14.2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customFormat="false" ht="14.2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customFormat="false" ht="14.2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customFormat="false" ht="14.2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customFormat="false" ht="14.2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customFormat="false" ht="14.2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customFormat="false" ht="14.2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customFormat="false" ht="14.2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customFormat="false" ht="14.2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customFormat="false" ht="14.2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customFormat="false" ht="14.2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customFormat="false" ht="14.2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customFormat="false" ht="14.2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customFormat="false" ht="14.2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</sheetData>
  <mergeCells count="2">
    <mergeCell ref="A1:J1"/>
    <mergeCell ref="A44:H44"/>
  </mergeCells>
  <conditionalFormatting sqref="F12:F41">
    <cfRule type="colorScale" priority="2">
      <colorScale>
        <cfvo type="min" val="0"/>
        <cfvo type="percentile" val="50"/>
        <cfvo type="max" val="0"/>
        <color rgb="FFE2F0D9"/>
        <color rgb="FFFFF2CC"/>
        <color rgb="FFF4CCCC"/>
      </colorScale>
    </cfRule>
  </conditionalFormatting>
  <dataValidations count="9">
    <dataValidation allowBlank="false" errorStyle="stop" operator="between" showDropDown="false" showErrorMessage="false" showInputMessage="false" sqref="B8" type="none">
      <formula1>1</formula1>
      <formula2>36</formula2>
    </dataValidation>
    <dataValidation allowBlank="false" errorStyle="stop" operator="between" showDropDown="false" showErrorMessage="false" showInputMessage="false" sqref="B6" type="list">
      <formula1>Reglas!$A$11:$A$17</formula1>
      <formula2>0</formula2>
    </dataValidation>
    <dataValidation allowBlank="false" errorStyle="stop" operator="between" showDropDown="false" showErrorMessage="false" showInputMessage="false" sqref="D12:D14 D16 D18:D19 D24:D41" type="list">
      <formula1>Reglas!$A$4:$A$8</formula1>
      <formula2>0</formula2>
    </dataValidation>
    <dataValidation allowBlank="false" errorStyle="stop" operator="between" showDropDown="false" showErrorMessage="false" showInputMessage="false" sqref="D20" type="list">
      <formula1>Reglas!$Y$4:$Y$8</formula1>
      <formula2>0</formula2>
    </dataValidation>
    <dataValidation allowBlank="false" errorStyle="stop" operator="between" showDropDown="false" showErrorMessage="false" showInputMessage="false" sqref="D21" type="list">
      <formula1>Reglas!$Z$4:$Z$8</formula1>
      <formula2>0</formula2>
    </dataValidation>
    <dataValidation allowBlank="false" errorStyle="stop" operator="between" showDropDown="false" showErrorMessage="false" showInputMessage="false" sqref="D22" type="list">
      <formula1>Reglas!$AA$4:$AA$8</formula1>
      <formula2>0</formula2>
    </dataValidation>
    <dataValidation allowBlank="false" errorStyle="stop" operator="between" showDropDown="false" showErrorMessage="false" showInputMessage="false" sqref="D23" type="list">
      <formula1>Reglas!$AB$4:$AB$8</formula1>
      <formula2>0</formula2>
    </dataValidation>
    <dataValidation allowBlank="false" errorStyle="stop" operator="between" showDropDown="false" showErrorMessage="false" showInputMessage="false" sqref="D15" type="list">
      <formula1>Reglas!$AC$4:$AC$8</formula1>
      <formula2>0</formula2>
    </dataValidation>
    <dataValidation allowBlank="false" errorStyle="stop" operator="between" showDropDown="false" showErrorMessage="false" showInputMessage="false" sqref="D17" type="list">
      <formula1>Reglas!$AD$4:$AD$8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0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C28" activeCellId="0" sqref="C2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6" min="3" style="0" width="14"/>
    <col collapsed="false" customWidth="true" hidden="false" outlineLevel="0" max="7" min="7" style="0" width="42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12</v>
      </c>
      <c r="B1" s="1"/>
      <c r="C1" s="1"/>
      <c r="D1" s="1"/>
      <c r="E1" s="1"/>
      <c r="F1" s="1"/>
      <c r="G1" s="1"/>
      <c r="H1" s="1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customFormat="false" ht="14.25" hidden="false" customHeight="false" outlineLevel="0" collapsed="false">
      <c r="A2" s="5"/>
      <c r="B2" s="5"/>
      <c r="C2" s="5"/>
      <c r="D2" s="5"/>
      <c r="E2" s="5"/>
      <c r="F2" s="5"/>
      <c r="G2" s="5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14.25" hidden="false" customHeight="true" outlineLevel="0" collapsed="false">
      <c r="A3" s="2" t="s">
        <v>176</v>
      </c>
      <c r="B3" s="2"/>
      <c r="C3" s="2"/>
      <c r="D3" s="2"/>
      <c r="E3" s="5"/>
      <c r="F3" s="5"/>
      <c r="G3" s="5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customFormat="false" ht="35.05" hidden="false" customHeight="false" outlineLevel="0" collapsed="false">
      <c r="A4" s="4" t="s">
        <v>177</v>
      </c>
      <c r="B4" s="27" t="str">
        <f aca="false">Formulario!B4</f>
        <v>Originación digital de crédito con terceros</v>
      </c>
      <c r="C4" s="5"/>
      <c r="D4" s="5"/>
      <c r="E4" s="5"/>
      <c r="F4" s="5"/>
      <c r="G4" s="5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customFormat="false" ht="14.25" hidden="false" customHeight="false" outlineLevel="0" collapsed="false">
      <c r="A5" s="4" t="s">
        <v>178</v>
      </c>
      <c r="B5" s="27" t="str">
        <f aca="false">Formulario!B6</f>
        <v>Producto financiero</v>
      </c>
      <c r="C5" s="5"/>
      <c r="D5" s="5"/>
      <c r="E5" s="5"/>
      <c r="F5" s="5"/>
      <c r="G5" s="5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customFormat="false" ht="14.25" hidden="false" customHeight="false" outlineLevel="0" collapsed="false">
      <c r="A6" s="4" t="s">
        <v>75</v>
      </c>
      <c r="B6" s="27" t="n">
        <f aca="false">Formulario!B8</f>
        <v>9</v>
      </c>
      <c r="C6" s="5"/>
      <c r="D6" s="5"/>
      <c r="E6" s="5"/>
      <c r="F6" s="5"/>
      <c r="G6" s="5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customFormat="false" ht="14.25" hidden="false" customHeight="false" outlineLevel="0" collapsed="false">
      <c r="A7" s="4" t="s">
        <v>84</v>
      </c>
      <c r="B7" s="27" t="n">
        <f aca="false">SUM(Formulario!G12:G41)</f>
        <v>183</v>
      </c>
      <c r="C7" s="5"/>
      <c r="D7" s="5"/>
      <c r="E7" s="5"/>
      <c r="F7" s="5"/>
      <c r="G7" s="5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customFormat="false" ht="14.25" hidden="false" customHeight="false" outlineLevel="0" collapsed="false">
      <c r="A8" s="4" t="s">
        <v>170</v>
      </c>
      <c r="B8" s="27" t="n">
        <f aca="false">SUM(Formulario!H12:H41)</f>
        <v>280</v>
      </c>
      <c r="C8" s="5"/>
      <c r="D8" s="5"/>
      <c r="E8" s="5"/>
      <c r="F8" s="5"/>
      <c r="G8" s="5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customFormat="false" ht="14.25" hidden="false" customHeight="false" outlineLevel="0" collapsed="false">
      <c r="A9" s="4" t="s">
        <v>179</v>
      </c>
      <c r="B9" s="28" t="n">
        <f aca="false">IFERROR(B7/B8*100,0)</f>
        <v>65.3571428571429</v>
      </c>
      <c r="C9" s="5"/>
      <c r="D9" s="5"/>
      <c r="E9" s="5"/>
      <c r="F9" s="5"/>
      <c r="G9" s="5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customFormat="false" ht="14.25" hidden="false" customHeight="false" outlineLevel="0" collapsed="false">
      <c r="A10" s="4" t="s">
        <v>180</v>
      </c>
      <c r="B10" s="27" t="str">
        <f aca="false">LOOKUP(B9,Reglas!$D$5:$D$9,Reglas!$F$5:$F$9)</f>
        <v>L</v>
      </c>
      <c r="C10" s="5"/>
      <c r="D10" s="5"/>
      <c r="E10" s="5"/>
      <c r="F10" s="5"/>
      <c r="G10" s="5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customFormat="false" ht="14.25" hidden="false" customHeight="false" outlineLevel="0" collapsed="false">
      <c r="A11" s="4" t="s">
        <v>181</v>
      </c>
      <c r="B11" s="28" t="n">
        <f aca="false">INDEX(Reglas!$G$5:$G$9,MATCH(B10,Reglas!$F$5:$F$9,0))</f>
        <v>16</v>
      </c>
      <c r="C11" s="5"/>
      <c r="D11" s="5"/>
      <c r="E11" s="5"/>
      <c r="F11" s="5"/>
      <c r="G11" s="5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customFormat="false" ht="14.25" hidden="false" customHeight="false" outlineLevel="0" collapsed="false">
      <c r="A12" s="4" t="s">
        <v>182</v>
      </c>
      <c r="B12" s="28" t="n">
        <f aca="false">INDEX(Reglas!$H$5:$H$9,MATCH(B10,Reglas!$F$5:$F$9,0))</f>
        <v>32</v>
      </c>
      <c r="C12" s="5"/>
      <c r="D12" s="5"/>
      <c r="E12" s="5"/>
      <c r="F12" s="5"/>
      <c r="G12" s="5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customFormat="false" ht="14.25" hidden="false" customHeight="false" outlineLevel="0" collapsed="false">
      <c r="A13" s="4" t="s">
        <v>183</v>
      </c>
      <c r="B13" s="28" t="n">
        <f aca="false">IFERROR(B11/B6,0)</f>
        <v>1.77777777777778</v>
      </c>
      <c r="C13" s="5"/>
      <c r="D13" s="5"/>
      <c r="E13" s="5"/>
      <c r="F13" s="5"/>
      <c r="G13" s="5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customFormat="false" ht="14.25" hidden="false" customHeight="false" outlineLevel="0" collapsed="false">
      <c r="A14" s="4" t="s">
        <v>184</v>
      </c>
      <c r="B14" s="28" t="n">
        <f aca="false">IFERROR(B12/B6,0)</f>
        <v>3.55555555555556</v>
      </c>
      <c r="C14" s="5"/>
      <c r="D14" s="5"/>
      <c r="E14" s="5"/>
      <c r="F14" s="5"/>
      <c r="G14" s="5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customFormat="false" ht="14.25" hidden="false" customHeight="false" outlineLevel="0" collapsed="false">
      <c r="A15" s="4" t="s">
        <v>185</v>
      </c>
      <c r="B15" s="27" t="n">
        <f aca="false">IFERROR(((B11+B12)/2)/B6,0)</f>
        <v>2.66666666666667</v>
      </c>
      <c r="C15" s="5"/>
      <c r="D15" s="5"/>
      <c r="E15" s="5"/>
      <c r="F15" s="5"/>
      <c r="G15" s="5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customFormat="false" ht="35.05" hidden="false" customHeight="false" outlineLevel="0" collapsed="false">
      <c r="A16" s="4" t="s">
        <v>186</v>
      </c>
      <c r="B16" s="27" t="str">
        <f aca="false">INDEX(Reglas!$I$5:$I$9,MATCH(B10,Reglas!$F$5:$F$9,0))</f>
        <v>Iniciativa grande, transversal o con riesgo relevante.</v>
      </c>
      <c r="C16" s="5"/>
      <c r="D16" s="5"/>
      <c r="E16" s="5"/>
      <c r="F16" s="5"/>
      <c r="G16" s="5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customFormat="false" ht="46.25" hidden="false" customHeight="false" outlineLevel="0" collapsed="false">
      <c r="A17" s="4" t="s">
        <v>187</v>
      </c>
      <c r="B17" s="27" t="str">
        <f aca="false">INDEX(Reglas!$J$5:$J$9,MATCH(B10,Reglas!$F$5:$F$9,0))</f>
        <v>Célula completa, arquitectura temprana y validación AppSec.</v>
      </c>
      <c r="C17" s="5"/>
      <c r="D17" s="5"/>
      <c r="E17" s="5"/>
      <c r="F17" s="5"/>
      <c r="G17" s="5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customFormat="false" ht="14.25" hidden="false" customHeight="false" outlineLevel="0" collapsed="false">
      <c r="A18" s="5"/>
      <c r="B18" s="5"/>
      <c r="C18" s="5"/>
      <c r="D18" s="5"/>
      <c r="E18" s="5"/>
      <c r="F18" s="5"/>
      <c r="G18" s="5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customFormat="false" ht="14.25" hidden="false" customHeight="false" outlineLevel="0" collapsed="false">
      <c r="A19" s="5"/>
      <c r="B19" s="5"/>
      <c r="C19" s="5"/>
      <c r="D19" s="5"/>
      <c r="E19" s="5"/>
      <c r="F19" s="5"/>
      <c r="G19" s="5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customFormat="false" ht="14.25" hidden="false" customHeight="true" outlineLevel="0" collapsed="false">
      <c r="A20" s="2" t="s">
        <v>188</v>
      </c>
      <c r="B20" s="2"/>
      <c r="C20" s="2"/>
      <c r="D20" s="2"/>
      <c r="E20" s="2"/>
      <c r="F20" s="5"/>
      <c r="G20" s="5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customFormat="false" ht="14.25" hidden="false" customHeight="false" outlineLevel="0" collapsed="false">
      <c r="A21" s="4" t="s">
        <v>81</v>
      </c>
      <c r="B21" s="4" t="s">
        <v>189</v>
      </c>
      <c r="C21" s="4" t="s">
        <v>85</v>
      </c>
      <c r="D21" s="4" t="s">
        <v>190</v>
      </c>
      <c r="E21" s="4" t="s">
        <v>191</v>
      </c>
      <c r="F21" s="5"/>
      <c r="G21" s="5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customFormat="false" ht="14.25" hidden="false" customHeight="false" outlineLevel="0" collapsed="false">
      <c r="A22" s="5" t="s">
        <v>90</v>
      </c>
      <c r="B22" s="5" t="n">
        <f aca="false">SUMIF(Formulario!$B$12:$B$41,A22,Formulario!$G$12:$G$41)</f>
        <v>21</v>
      </c>
      <c r="C22" s="5" t="n">
        <f aca="false">SUMIF(Formulario!$B$12:$B$41,A22,Formulario!$H$12:$H$41)</f>
        <v>32</v>
      </c>
      <c r="D22" s="29" t="n">
        <f aca="false">IFERROR(B22/C22*100,0)</f>
        <v>65.625</v>
      </c>
      <c r="E22" s="5" t="str">
        <f aca="false">LOOKUP(D22,Reglas!$D$5:$D$9,Reglas!$F$5:$F$9)</f>
        <v>L</v>
      </c>
      <c r="F22" s="5"/>
      <c r="G22" s="5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customFormat="false" ht="14.25" hidden="false" customHeight="false" outlineLevel="0" collapsed="false">
      <c r="A23" s="5" t="s">
        <v>104</v>
      </c>
      <c r="B23" s="5" t="n">
        <f aca="false">SUMIF(Formulario!$B$12:$B$41,A23,Formulario!$G$12:$G$41)</f>
        <v>26</v>
      </c>
      <c r="C23" s="5" t="n">
        <f aca="false">SUMIF(Formulario!$B$12:$B$41,A23,Formulario!$H$12:$H$41)</f>
        <v>40</v>
      </c>
      <c r="D23" s="29" t="n">
        <f aca="false">IFERROR(B23/C23*100,0)</f>
        <v>65</v>
      </c>
      <c r="E23" s="5" t="str">
        <f aca="false">LOOKUP(D23,Reglas!$D$5:$D$9,Reglas!$F$5:$F$9)</f>
        <v>L</v>
      </c>
      <c r="F23" s="5"/>
      <c r="G23" s="5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customFormat="false" ht="14.25" hidden="false" customHeight="false" outlineLevel="0" collapsed="false">
      <c r="A24" s="5" t="s">
        <v>114</v>
      </c>
      <c r="B24" s="5" t="n">
        <f aca="false">SUMIF(Formulario!$B$12:$B$41,A24,Formulario!$G$12:$G$41)</f>
        <v>26</v>
      </c>
      <c r="C24" s="5" t="n">
        <f aca="false">SUMIF(Formulario!$B$12:$B$41,A24,Formulario!$H$12:$H$41)</f>
        <v>40</v>
      </c>
      <c r="D24" s="29" t="n">
        <f aca="false">IFERROR(B24/C24*100,0)</f>
        <v>65</v>
      </c>
      <c r="E24" s="5" t="str">
        <f aca="false">LOOKUP(D24,Reglas!$D$5:$D$9,Reglas!$F$5:$F$9)</f>
        <v>L</v>
      </c>
      <c r="F24" s="5"/>
      <c r="G24" s="5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customFormat="false" ht="14.25" hidden="false" customHeight="false" outlineLevel="0" collapsed="false">
      <c r="A25" s="5" t="s">
        <v>127</v>
      </c>
      <c r="B25" s="5" t="n">
        <f aca="false">SUMIF(Formulario!$B$12:$B$41,A25,Formulario!$G$12:$G$41)</f>
        <v>38</v>
      </c>
      <c r="C25" s="5" t="n">
        <f aca="false">SUMIF(Formulario!$B$12:$B$41,A25,Formulario!$H$12:$H$41)</f>
        <v>52</v>
      </c>
      <c r="D25" s="29" t="n">
        <f aca="false">IFERROR(B25/C25*100,0)</f>
        <v>73.0769230769231</v>
      </c>
      <c r="E25" s="5" t="str">
        <f aca="false">LOOKUP(D25,Reglas!$D$5:$D$9,Reglas!$F$5:$F$9)</f>
        <v>XL</v>
      </c>
      <c r="F25" s="5"/>
      <c r="G25" s="5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customFormat="false" ht="14.25" hidden="false" customHeight="false" outlineLevel="0" collapsed="false">
      <c r="A26" s="5" t="s">
        <v>139</v>
      </c>
      <c r="B26" s="5" t="n">
        <f aca="false">SUMIF(Formulario!$B$12:$B$41,A26,Formulario!$G$12:$G$41)</f>
        <v>32</v>
      </c>
      <c r="C26" s="5" t="n">
        <f aca="false">SUMIF(Formulario!$B$12:$B$41,A26,Formulario!$H$12:$H$41)</f>
        <v>52</v>
      </c>
      <c r="D26" s="29" t="n">
        <f aca="false">IFERROR(B26/C26*100,0)</f>
        <v>61.5384615384615</v>
      </c>
      <c r="E26" s="5" t="str">
        <f aca="false">LOOKUP(D26,Reglas!$D$5:$D$9,Reglas!$F$5:$F$9)</f>
        <v>L</v>
      </c>
      <c r="F26" s="5"/>
      <c r="G26" s="5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customFormat="false" ht="14.25" hidden="false" customHeight="false" outlineLevel="0" collapsed="false">
      <c r="A27" s="5" t="s">
        <v>150</v>
      </c>
      <c r="B27" s="5" t="n">
        <f aca="false">SUMIF(Formulario!$B$12:$B$41,A27,Formulario!$G$12:$G$41)</f>
        <v>24</v>
      </c>
      <c r="C27" s="5" t="n">
        <f aca="false">SUMIF(Formulario!$B$12:$B$41,A27,Formulario!$H$12:$H$41)</f>
        <v>36</v>
      </c>
      <c r="D27" s="29" t="n">
        <f aca="false">IFERROR(B27/C27*100,0)</f>
        <v>66.6666666666667</v>
      </c>
      <c r="E27" s="5" t="str">
        <f aca="false">LOOKUP(D27,Reglas!$D$5:$D$9,Reglas!$F$5:$F$9)</f>
        <v>L</v>
      </c>
      <c r="F27" s="5"/>
      <c r="G27" s="5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customFormat="false" ht="14.25" hidden="false" customHeight="false" outlineLevel="0" collapsed="false">
      <c r="A28" s="5" t="s">
        <v>159</v>
      </c>
      <c r="B28" s="5" t="n">
        <f aca="false">SUMIF(Formulario!$B$12:$B$41,A28,Formulario!$G$12:$G$41)</f>
        <v>16</v>
      </c>
      <c r="C28" s="5" t="n">
        <f aca="false">SUMIF(Formulario!$B$12:$B$41,A28,Formulario!$H$12:$H$41)</f>
        <v>28</v>
      </c>
      <c r="D28" s="29" t="n">
        <f aca="false">IFERROR(B28/C28*100,0)</f>
        <v>57.1428571428571</v>
      </c>
      <c r="E28" s="5" t="str">
        <f aca="false">LOOKUP(D28,Reglas!$D$5:$D$9,Reglas!$F$5:$F$9)</f>
        <v>L</v>
      </c>
      <c r="F28" s="5"/>
      <c r="G28" s="5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customFormat="false" ht="14.25" hidden="false" customHeight="false" outlineLevel="0" collapsed="false">
      <c r="A29" s="5"/>
      <c r="B29" s="5"/>
      <c r="C29" s="5"/>
      <c r="D29" s="5"/>
      <c r="E29" s="5"/>
      <c r="F29" s="5"/>
      <c r="G29" s="5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customFormat="false" ht="14.25" hidden="false" customHeight="false" outlineLevel="0" collapsed="false">
      <c r="A30" s="5"/>
      <c r="B30" s="5"/>
      <c r="C30" s="5"/>
      <c r="D30" s="5"/>
      <c r="E30" s="5"/>
      <c r="F30" s="5"/>
      <c r="G30" s="5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customFormat="false" ht="14.25" hidden="false" customHeight="true" outlineLevel="0" collapsed="false">
      <c r="A31" s="2" t="s">
        <v>192</v>
      </c>
      <c r="B31" s="2"/>
      <c r="C31" s="2"/>
      <c r="D31" s="2"/>
      <c r="E31" s="2"/>
      <c r="F31" s="2"/>
      <c r="G31" s="2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14.25" hidden="false" customHeight="false" outlineLevel="0" collapsed="false">
      <c r="A32" s="4" t="s">
        <v>193</v>
      </c>
      <c r="B32" s="4" t="s">
        <v>194</v>
      </c>
      <c r="C32" s="4" t="s">
        <v>195</v>
      </c>
      <c r="D32" s="4" t="s">
        <v>196</v>
      </c>
      <c r="E32" s="4" t="s">
        <v>197</v>
      </c>
      <c r="F32" s="4" t="s">
        <v>198</v>
      </c>
      <c r="G32" s="4" t="s">
        <v>62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14.25" hidden="false" customHeight="false" outlineLevel="0" collapsed="false">
      <c r="A33" s="5" t="s">
        <v>199</v>
      </c>
      <c r="B33" s="5" t="n">
        <f aca="false">INDEX(Reglas!$M$5:$Q$15,MATCH(A33,Reglas!$K$5:$K$15,0),MATCH("SFIA "&amp;$B$10,Reglas!$M$4:$Q$4,0))</f>
        <v>4</v>
      </c>
      <c r="C33" s="30" t="n">
        <f aca="false">INDEX(Reglas!$R$5:$V$15,MATCH(A33,Reglas!$K$5:$K$15,0),MATCH("Mix "&amp;$B$10,Reglas!$R$4:$V$4,0))</f>
        <v>0.1</v>
      </c>
      <c r="D33" s="31" t="n">
        <f aca="false">C33*$B$15</f>
        <v>0.266666666666667</v>
      </c>
      <c r="E33" s="32" t="n">
        <f aca="false">0</f>
        <v>0</v>
      </c>
      <c r="F33" s="31" t="n">
        <f aca="false">MAX(0,D33+E33)</f>
        <v>0.266666666666667</v>
      </c>
      <c r="G33" s="5" t="str">
        <f aca="false">INDEX(Reglas!$W$5:$W$15,MATCH(A33,Reglas!$K$5:$K$15,0))</f>
        <v>Indispensable para foco y priorización.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14.25" hidden="false" customHeight="false" outlineLevel="0" collapsed="false">
      <c r="A34" s="5" t="s">
        <v>200</v>
      </c>
      <c r="B34" s="5" t="n">
        <f aca="false">INDEX(Reglas!$M$5:$Q$15,MATCH(A34,Reglas!$K$5:$K$15,0),MATCH("SFIA "&amp;$B$10,Reglas!$M$4:$Q$4,0))</f>
        <v>4</v>
      </c>
      <c r="C34" s="30" t="n">
        <f aca="false">INDEX(Reglas!$R$5:$V$15,MATCH(A34,Reglas!$K$5:$K$15,0),MATCH("Mix "&amp;$B$10,Reglas!$R$4:$V$4,0))</f>
        <v>0.12</v>
      </c>
      <c r="D34" s="31" t="n">
        <f aca="false">C34*$B$15</f>
        <v>0.32</v>
      </c>
      <c r="E34" s="32" t="n">
        <f aca="false">0</f>
        <v>0</v>
      </c>
      <c r="F34" s="31" t="n">
        <f aca="false">MAX(0,D34+E34)</f>
        <v>0.32</v>
      </c>
      <c r="G34" s="5" t="str">
        <f aca="false">INDEX(Reglas!$W$5:$W$15,MATCH(A34,Reglas!$K$5:$K$15,0))</f>
        <v>Clave cuando no hay historias detalladas.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14.25" hidden="false" customHeight="false" outlineLevel="0" collapsed="false">
      <c r="A35" s="5" t="s">
        <v>201</v>
      </c>
      <c r="B35" s="5" t="n">
        <f aca="false">INDEX(Reglas!$M$5:$Q$15,MATCH(A35,Reglas!$K$5:$K$15,0),MATCH("SFIA "&amp;$B$10,Reglas!$M$4:$Q$4,0))</f>
        <v>5</v>
      </c>
      <c r="C35" s="30" t="n">
        <f aca="false">INDEX(Reglas!$R$5:$V$15,MATCH(A35,Reglas!$K$5:$K$15,0),MATCH("Mix "&amp;$B$10,Reglas!$R$4:$V$4,0))</f>
        <v>0.08</v>
      </c>
      <c r="D35" s="31" t="n">
        <f aca="false">C35*$B$15</f>
        <v>0.213333333333333</v>
      </c>
      <c r="E35" s="32" t="n">
        <f aca="false">0</f>
        <v>0</v>
      </c>
      <c r="F35" s="31" t="n">
        <f aca="false">MAX(0,D35+E35)</f>
        <v>0.213333333333333</v>
      </c>
      <c r="G35" s="5" t="str">
        <f aca="false">INDEX(Reglas!$W$5:$W$15,MATCH(A35,Reglas!$K$5:$K$15,0))</f>
        <v>Puede ser compartida según criticidad.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23.85" hidden="false" customHeight="false" outlineLevel="0" collapsed="false">
      <c r="A36" s="5" t="s">
        <v>202</v>
      </c>
      <c r="B36" s="5" t="n">
        <f aca="false">INDEX(Reglas!$M$5:$Q$15,MATCH(A36,Reglas!$K$5:$K$15,0),MATCH("SFIA "&amp;$B$10,Reglas!$M$4:$Q$4,0))</f>
        <v>4</v>
      </c>
      <c r="C36" s="30" t="n">
        <f aca="false">INDEX(Reglas!$R$5:$V$15,MATCH(A36,Reglas!$K$5:$K$15,0),MATCH("Mix "&amp;$B$10,Reglas!$R$4:$V$4,0))</f>
        <v>0.28</v>
      </c>
      <c r="D36" s="31" t="n">
        <f aca="false">C36*$B$15</f>
        <v>0.746666666666667</v>
      </c>
      <c r="E36" s="32" t="n">
        <f aca="false">0</f>
        <v>0</v>
      </c>
      <c r="F36" s="31" t="n">
        <f aca="false">MAX(0,D36+E36)</f>
        <v>0.746666666666667</v>
      </c>
      <c r="G36" s="5" t="str">
        <f aca="false">INDEX(Reglas!$W$5:$W$15,MATCH(A36,Reglas!$K$5:$K$15,0))</f>
        <v>Alta relevancia en iniciativas financieras y transversales.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14.25" hidden="false" customHeight="false" outlineLevel="0" collapsed="false">
      <c r="A37" s="5" t="s">
        <v>203</v>
      </c>
      <c r="B37" s="5" t="n">
        <f aca="false">INDEX(Reglas!$M$5:$Q$15,MATCH(A37,Reglas!$K$5:$K$15,0),MATCH("SFIA "&amp;$B$10,Reglas!$M$4:$Q$4,0))</f>
        <v>4</v>
      </c>
      <c r="C37" s="30" t="n">
        <f aca="false">INDEX(Reglas!$R$5:$V$15,MATCH(A37,Reglas!$K$5:$K$15,0),MATCH("Mix "&amp;$B$10,Reglas!$R$4:$V$4,0))</f>
        <v>0.14</v>
      </c>
      <c r="D37" s="31" t="n">
        <f aca="false">C37*$B$15</f>
        <v>0.373333333333333</v>
      </c>
      <c r="E37" s="32" t="n">
        <f aca="false">0</f>
        <v>0</v>
      </c>
      <c r="F37" s="31" t="n">
        <f aca="false">MAX(0,D37+E37)</f>
        <v>0.373333333333333</v>
      </c>
      <c r="G37" s="5" t="str">
        <f aca="false">INDEX(Reglas!$W$5:$W$15,MATCH(A37,Reglas!$K$5:$K$15,0))</f>
        <v>Aplicar si impacta App, web o portales.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23.85" hidden="false" customHeight="false" outlineLevel="0" collapsed="false">
      <c r="A38" s="5" t="s">
        <v>204</v>
      </c>
      <c r="B38" s="5" t="n">
        <f aca="false">INDEX(Reglas!$M$5:$Q$15,MATCH(A38,Reglas!$K$5:$K$15,0),MATCH("SFIA "&amp;$B$10,Reglas!$M$4:$Q$4,0))</f>
        <v>4</v>
      </c>
      <c r="C38" s="30" t="n">
        <f aca="false">INDEX(Reglas!$R$5:$V$15,MATCH(A38,Reglas!$K$5:$K$15,0),MATCH("Mix "&amp;$B$10,Reglas!$R$4:$V$4,0))</f>
        <v>0.13</v>
      </c>
      <c r="D38" s="31" t="n">
        <f aca="false">C38*$B$15</f>
        <v>0.346666666666667</v>
      </c>
      <c r="E38" s="32" t="n">
        <f aca="false">0</f>
        <v>0</v>
      </c>
      <c r="F38" s="31" t="n">
        <f aca="false">MAX(0,D38+E38)</f>
        <v>0.346666666666667</v>
      </c>
      <c r="G38" s="5" t="str">
        <f aca="false">INDEX(Reglas!$W$5:$W$15,MATCH(A38,Reglas!$K$5:$K$15,0))</f>
        <v>Aumentar en flujos críticos, cartera, pagos o crédito.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23.85" hidden="false" customHeight="false" outlineLevel="0" collapsed="false">
      <c r="A39" s="5" t="s">
        <v>205</v>
      </c>
      <c r="B39" s="5" t="n">
        <f aca="false">INDEX(Reglas!$M$5:$Q$15,MATCH(A39,Reglas!$K$5:$K$15,0),MATCH("SFIA "&amp;$B$10,Reglas!$M$4:$Q$4,0))</f>
        <v>4</v>
      </c>
      <c r="C39" s="30" t="n">
        <f aca="false">INDEX(Reglas!$R$5:$V$15,MATCH(A39,Reglas!$K$5:$K$15,0),MATCH("Mix "&amp;$B$10,Reglas!$R$4:$V$4,0))</f>
        <v>0.05</v>
      </c>
      <c r="D39" s="31" t="n">
        <f aca="false">C39*$B$15</f>
        <v>0.133333333333333</v>
      </c>
      <c r="E39" s="32" t="n">
        <f aca="false">0</f>
        <v>0</v>
      </c>
      <c r="F39" s="31" t="n">
        <f aca="false">MAX(0,D39+E39)</f>
        <v>0.133333333333333</v>
      </c>
      <c r="G39" s="5" t="str">
        <f aca="false">INDEX(Reglas!$W$5:$W$15,MATCH(A39,Reglas!$K$5:$K$15,0))</f>
        <v>Aumentar si hay datos sensibles, internet o riesgo regulatorio.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23.85" hidden="false" customHeight="false" outlineLevel="0" collapsed="false">
      <c r="A40" s="5" t="s">
        <v>206</v>
      </c>
      <c r="B40" s="5" t="n">
        <f aca="false">INDEX(Reglas!$M$5:$Q$15,MATCH(A40,Reglas!$K$5:$K$15,0),MATCH("SFIA "&amp;$B$10,Reglas!$M$4:$Q$4,0))</f>
        <v>4</v>
      </c>
      <c r="C40" s="30" t="n">
        <f aca="false">INDEX(Reglas!$R$5:$V$15,MATCH(A40,Reglas!$K$5:$K$15,0),MATCH("Mix "&amp;$B$10,Reglas!$R$4:$V$4,0))</f>
        <v>0.04</v>
      </c>
      <c r="D40" s="31" t="n">
        <f aca="false">C40*$B$15</f>
        <v>0.106666666666667</v>
      </c>
      <c r="E40" s="32" t="n">
        <f aca="false">0</f>
        <v>0</v>
      </c>
      <c r="F40" s="31" t="n">
        <f aca="false">MAX(0,D40+E40)</f>
        <v>0.106666666666667</v>
      </c>
      <c r="G40" s="5" t="str">
        <f aca="false">INDEX(Reglas!$W$5:$W$15,MATCH(A40,Reglas!$K$5:$K$15,0))</f>
        <v>Puede ser compartida si existe plataforma madura.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23.85" hidden="false" customHeight="false" outlineLevel="0" collapsed="false">
      <c r="A41" s="5" t="s">
        <v>207</v>
      </c>
      <c r="B41" s="5" t="n">
        <f aca="false">INDEX(Reglas!$M$5:$Q$15,MATCH(A41,Reglas!$K$5:$K$15,0),MATCH("SFIA "&amp;$B$10,Reglas!$M$4:$Q$4,0))</f>
        <v>4</v>
      </c>
      <c r="C41" s="30" t="n">
        <f aca="false">INDEX(Reglas!$R$5:$V$15,MATCH(A41,Reglas!$K$5:$K$15,0),MATCH("Mix "&amp;$B$10,Reglas!$R$4:$V$4,0))</f>
        <v>0.03</v>
      </c>
      <c r="D41" s="31" t="n">
        <f aca="false">C41*$B$15</f>
        <v>0.08</v>
      </c>
      <c r="E41" s="32" t="n">
        <f aca="false">0</f>
        <v>0</v>
      </c>
      <c r="F41" s="31" t="n">
        <f aca="false">MAX(0,D41+E41)</f>
        <v>0.08</v>
      </c>
      <c r="G41" s="5" t="str">
        <f aca="false">INDEX(Reglas!$W$5:$W$15,MATCH(A41,Reglas!$K$5:$K$15,0))</f>
        <v>Aplica en analítica, reportes, integraciones o migración.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4.25" hidden="false" customHeight="false" outlineLevel="0" collapsed="false">
      <c r="A42" s="5" t="s">
        <v>208</v>
      </c>
      <c r="B42" s="5" t="n">
        <f aca="false">INDEX(Reglas!$M$5:$Q$15,MATCH(A42,Reglas!$K$5:$K$15,0),MATCH("SFIA "&amp;$B$10,Reglas!$M$4:$Q$4,0))</f>
        <v>3</v>
      </c>
      <c r="C42" s="30" t="n">
        <f aca="false">INDEX(Reglas!$R$5:$V$15,MATCH(A42,Reglas!$K$5:$K$15,0),MATCH("Mix "&amp;$B$10,Reglas!$R$4:$V$4,0))</f>
        <v>0.02</v>
      </c>
      <c r="D42" s="31" t="n">
        <f aca="false">C42*$B$15</f>
        <v>0.0533333333333333</v>
      </c>
      <c r="E42" s="32" t="n">
        <f aca="false">0</f>
        <v>0</v>
      </c>
      <c r="F42" s="31" t="n">
        <f aca="false">MAX(0,D42+E42)</f>
        <v>0.0533333333333333</v>
      </c>
      <c r="G42" s="5" t="str">
        <f aca="false">INDEX(Reglas!$W$5:$W$15,MATCH(A42,Reglas!$K$5:$K$15,0))</f>
        <v>Aplicar en canales de cliente/aliado.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4.25" hidden="false" customHeight="false" outlineLevel="0" collapsed="false">
      <c r="A43" s="5" t="s">
        <v>209</v>
      </c>
      <c r="B43" s="5" t="n">
        <f aca="false">INDEX(Reglas!$M$5:$Q$15,MATCH(A43,Reglas!$K$5:$K$15,0),MATCH("SFIA "&amp;$B$10,Reglas!$M$4:$Q$4,0))</f>
        <v>3</v>
      </c>
      <c r="C43" s="30" t="n">
        <f aca="false">INDEX(Reglas!$R$5:$V$15,MATCH(A43,Reglas!$K$5:$K$15,0),MATCH("Mix "&amp;$B$10,Reglas!$R$4:$V$4,0))</f>
        <v>0.01</v>
      </c>
      <c r="D43" s="31" t="n">
        <f aca="false">C43*$B$15</f>
        <v>0.0266666666666667</v>
      </c>
      <c r="E43" s="32" t="n">
        <f aca="false">0</f>
        <v>0</v>
      </c>
      <c r="F43" s="31" t="n">
        <f aca="false">MAX(0,D43+E43)</f>
        <v>0.0266666666666667</v>
      </c>
      <c r="G43" s="5" t="str">
        <f aca="false">INDEX(Reglas!$W$5:$W$15,MATCH(A43,Reglas!$K$5:$K$15,0))</f>
        <v>Relevante para servicios críticos o 7x24.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4.25" hidden="false" customHeight="false" outlineLevel="0" collapsed="false">
      <c r="A44" s="5"/>
      <c r="B44" s="5"/>
      <c r="C44" s="5"/>
      <c r="D44" s="5"/>
      <c r="E44" s="5"/>
      <c r="F44" s="5"/>
      <c r="G44" s="5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4.25" hidden="false" customHeight="false" outlineLevel="0" collapsed="false">
      <c r="A45" s="4" t="s">
        <v>210</v>
      </c>
      <c r="B45" s="4"/>
      <c r="C45" s="33" t="n">
        <f aca="false">SUM(C33:C43)</f>
        <v>1</v>
      </c>
      <c r="D45" s="34" t="n">
        <f aca="false">SUM(D33:D43)</f>
        <v>2.66666666666667</v>
      </c>
      <c r="E45" s="34" t="n">
        <f aca="false">SUM(E33:E43)</f>
        <v>0</v>
      </c>
      <c r="F45" s="34" t="n">
        <f aca="false">SUM(F33:F43)</f>
        <v>2.66666666666667</v>
      </c>
      <c r="G45" s="5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4.2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14.2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4.2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4.2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4.2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4.2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4.2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4.2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customFormat="false" ht="14.2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customFormat="false" ht="14.2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customFormat="false" ht="14.2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customFormat="false" ht="14.2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customFormat="false" ht="14.2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customFormat="false" ht="14.2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customFormat="false" ht="14.2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customFormat="false" ht="14.2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customFormat="false" ht="14.2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customFormat="false" ht="14.2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customFormat="false" ht="14.2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customFormat="false" ht="14.2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customFormat="false" ht="14.2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customFormat="false" ht="14.2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customFormat="false" ht="14.2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customFormat="false" ht="14.2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customFormat="false" ht="14.2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customFormat="false" ht="14.2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customFormat="false" ht="14.2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customFormat="false" ht="14.2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customFormat="false" ht="14.2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customFormat="false" ht="14.2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customFormat="false" ht="14.2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customFormat="false" ht="14.2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customFormat="false" ht="14.2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customFormat="false" ht="14.2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customFormat="false" ht="14.2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customFormat="false" ht="14.2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customFormat="false" ht="14.2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customFormat="false" ht="14.2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customFormat="false" ht="14.2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customFormat="false" ht="14.2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customFormat="false" ht="14.2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customFormat="false" ht="14.2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customFormat="false" ht="14.2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customFormat="false" ht="14.2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customFormat="false" ht="14.2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customFormat="false" ht="14.2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customFormat="false" ht="14.2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customFormat="false" ht="14.2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customFormat="false" ht="14.2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customFormat="false" ht="14.2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customFormat="false" ht="14.2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customFormat="false" ht="14.2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customFormat="false" ht="14.2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customFormat="false" ht="14.2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customFormat="false" ht="14.2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customFormat="false" ht="14.2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customFormat="false" ht="14.2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customFormat="false" ht="14.2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customFormat="false" ht="14.2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customFormat="false" ht="14.2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customFormat="false" ht="14.2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customFormat="false" ht="14.2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customFormat="false" ht="14.2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customFormat="false" ht="14.2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customFormat="false" ht="14.2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customFormat="false" ht="14.2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customFormat="false" ht="14.2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customFormat="false" ht="14.2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customFormat="false" ht="14.2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customFormat="false" ht="14.2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customFormat="false" ht="14.2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customFormat="false" ht="14.2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customFormat="false" ht="14.2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customFormat="false" ht="14.2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customFormat="false" ht="14.2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customFormat="false" ht="14.2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customFormat="false" ht="14.2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customFormat="false" ht="14.2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customFormat="false" ht="14.2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customFormat="false" ht="14.2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customFormat="false" ht="14.2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customFormat="false" ht="14.2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customFormat="false" ht="14.2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customFormat="false" ht="14.2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customFormat="false" ht="14.2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customFormat="false" ht="14.2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customFormat="false" ht="14.2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customFormat="false" ht="14.2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customFormat="false" ht="14.2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customFormat="false" ht="14.2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customFormat="false" ht="14.2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customFormat="false" ht="14.2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customFormat="false" ht="14.2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customFormat="false" ht="14.2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customFormat="false" ht="14.2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customFormat="false" ht="14.2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customFormat="false" ht="14.2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customFormat="false" ht="14.2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customFormat="false" ht="14.2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customFormat="false" ht="14.2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customFormat="false" ht="14.2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customFormat="false" ht="14.2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customFormat="false" ht="14.2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customFormat="false" ht="14.2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customFormat="false" ht="14.2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customFormat="false" ht="14.2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customFormat="false" ht="14.2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customFormat="false" ht="14.2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customFormat="false" ht="14.2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customFormat="false" ht="14.2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customFormat="false" ht="14.2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customFormat="false" ht="14.2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customFormat="false" ht="14.2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customFormat="false" ht="14.2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customFormat="false" ht="14.2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customFormat="false" ht="14.2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customFormat="false" ht="14.2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customFormat="false" ht="14.2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customFormat="false" ht="14.2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customFormat="false" ht="14.2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customFormat="false" ht="14.2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customFormat="false" ht="14.2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customFormat="false" ht="14.2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customFormat="false" ht="14.2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customFormat="false" ht="14.2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customFormat="false" ht="14.2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customFormat="false" ht="14.2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customFormat="false" ht="14.2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customFormat="false" ht="14.2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customFormat="false" ht="14.2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customFormat="false" ht="14.2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customFormat="false" ht="14.2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customFormat="false" ht="14.2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customFormat="false" ht="14.2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customFormat="false" ht="14.2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customFormat="false" ht="14.2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customFormat="false" ht="14.2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customFormat="false" ht="14.2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customFormat="false" ht="14.2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customFormat="false" ht="14.2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customFormat="false" ht="14.2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customFormat="false" ht="14.2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customFormat="false" ht="14.2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customFormat="false" ht="14.2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customFormat="false" ht="14.2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customFormat="false" ht="14.2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customFormat="false" ht="14.2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customFormat="false" ht="14.2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customFormat="false" ht="14.2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customFormat="false" ht="14.2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customFormat="false" ht="14.2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customFormat="false" ht="14.2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customFormat="false" ht="14.2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customFormat="false" ht="14.2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customFormat="false" ht="14.2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</sheetData>
  <mergeCells count="4">
    <mergeCell ref="A1:H1"/>
    <mergeCell ref="A3:D3"/>
    <mergeCell ref="A20:E20"/>
    <mergeCell ref="A31:G31"/>
  </mergeCells>
  <conditionalFormatting sqref="D22:D28">
    <cfRule type="dataBar" priority="2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{254F1CC4-2FBA-4089-88BC-DE2A46B31BD3}</x14:id>
        </ext>
      </extLst>
    </cfRule>
    <cfRule type="dataBar" priority="3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{BC9B9341-E6E4-4A85-ADCF-AED66783E68E}</x14:id>
        </ext>
      </extLst>
    </cfRule>
  </conditionalFormatting>
  <conditionalFormatting sqref="B9">
    <cfRule type="colorScale" priority="4">
      <colorScale>
        <cfvo type="min" val="0"/>
        <cfvo type="percentile" val="50"/>
        <cfvo type="max" val="0"/>
        <color rgb="FFE2F0D9"/>
        <color rgb="FFFFF2CC"/>
        <color rgb="FFF4CCCC"/>
      </colorScale>
    </cfRule>
  </conditionalFormatting>
  <conditionalFormatting sqref="F33:F43">
    <cfRule type="dataBar" priority="5">
      <dataBar showValue="1" minLength="10" maxLength="90">
        <cfvo type="min" val="0"/>
        <cfvo type="max" val="0"/>
        <color rgb="FF70AD47"/>
      </dataBar>
      <extLst>
        <ext xmlns:x14="http://schemas.microsoft.com/office/spreadsheetml/2009/9/main" uri="{B025F937-C7B1-47D3-B67F-A62EFF666E3E}">
          <x14:id>{ABF84BAB-7014-48A9-8AAA-30E6347A7894}</x14:id>
        </ext>
      </extLst>
    </cfRule>
    <cfRule type="dataBar" priority="6">
      <dataBar showValue="1" minLength="10" maxLength="90">
        <cfvo type="min" val="0"/>
        <cfvo type="max" val="0"/>
        <color rgb="FF70AD47"/>
      </dataBar>
      <extLst>
        <ext xmlns:x14="http://schemas.microsoft.com/office/spreadsheetml/2009/9/main" uri="{B025F937-C7B1-47D3-B67F-A62EFF666E3E}">
          <x14:id>{476139B0-89C1-441C-97EA-4158F59C9BEC}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4F1CC4-2FBA-4089-88BC-DE2A46B31BD3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14:cfRule type="dataBar" id="{BC9B9341-E6E4-4A85-ADCF-AED66783E68E}">
            <x14:dataBar minLength="10" maxLength="90" axisPosition="automatic" gradient="true">
              <x14:cfvo type="min"/>
              <x14:cfvo type="max"/>
              <x14:negativeFillColor rgb="FF000000"/>
              <x14:axisColor rgb="FF000000"/>
            </x14:dataBar>
          </x14:cfRule>
          <xm:sqref>D22:D28</xm:sqref>
        </x14:conditionalFormatting>
        <x14:conditionalFormatting xmlns:xm="http://schemas.microsoft.com/office/excel/2006/main">
          <x14:cfRule type="dataBar" id="{ABF84BAB-7014-48A9-8AAA-30E6347A7894}">
            <x14:dataBar minLength="10" maxLength="90" axisPosition="none" gradient="true">
              <x14:cfvo type="min"/>
              <x14:cfvo type="max"/>
              <x14:negativeFillColor rgb="FF70AD47"/>
              <x14:axisColor rgb="FF000000"/>
            </x14:dataBar>
          </x14:cfRule>
          <x14:cfRule type="dataBar" id="{476139B0-89C1-441C-97EA-4158F59C9BEC}">
            <x14:dataBar minLength="10" maxLength="90" axisPosition="automatic" gradient="true">
              <x14:cfvo type="min"/>
              <x14:cfvo type="max"/>
              <x14:negativeFillColor rgb="FF000000"/>
              <x14:axisColor rgb="FF000000"/>
            </x14:dataBar>
          </x14:cfRule>
          <xm:sqref>F33:F43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8" min="4" style="0" width="10"/>
    <col collapsed="false" customWidth="true" hidden="false" outlineLevel="0" max="9" min="9" style="0" width="42"/>
    <col collapsed="false" customWidth="true" hidden="false" outlineLevel="0" max="10" min="10" style="0" width="46"/>
    <col collapsed="false" customWidth="true" hidden="false" outlineLevel="0" max="11" min="11" style="0" width="32"/>
    <col collapsed="false" customWidth="true" hidden="false" outlineLevel="0" max="12" min="12" style="0" width="48"/>
    <col collapsed="false" customWidth="true" hidden="false" outlineLevel="0" max="22" min="13" style="0" width="9"/>
    <col collapsed="false" customWidth="true" hidden="false" outlineLevel="0" max="23" min="23" style="0" width="46"/>
  </cols>
  <sheetData>
    <row r="1" customFormat="false" ht="27.7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4.2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customFormat="false" ht="57.45" hidden="false" customHeight="true" outlineLevel="0" collapsed="false">
      <c r="A3" s="4" t="s">
        <v>211</v>
      </c>
      <c r="B3" s="4" t="s">
        <v>83</v>
      </c>
      <c r="C3" s="5"/>
      <c r="D3" s="2" t="s">
        <v>212</v>
      </c>
      <c r="E3" s="2"/>
      <c r="F3" s="2"/>
      <c r="G3" s="2"/>
      <c r="H3" s="2"/>
      <c r="I3" s="2"/>
      <c r="J3" s="2"/>
      <c r="K3" s="2" t="s">
        <v>213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Y3" s="4" t="s">
        <v>214</v>
      </c>
      <c r="Z3" s="4" t="s">
        <v>215</v>
      </c>
      <c r="AA3" s="4" t="s">
        <v>216</v>
      </c>
      <c r="AB3" s="4" t="s">
        <v>217</v>
      </c>
      <c r="AC3" s="4" t="s">
        <v>218</v>
      </c>
      <c r="AD3" s="4" t="s">
        <v>219</v>
      </c>
    </row>
    <row r="4" customFormat="false" ht="14.25" hidden="false" customHeight="false" outlineLevel="0" collapsed="false">
      <c r="A4" s="5" t="s">
        <v>220</v>
      </c>
      <c r="B4" s="5" t="n">
        <v>0</v>
      </c>
      <c r="C4" s="5"/>
      <c r="D4" s="4" t="s">
        <v>221</v>
      </c>
      <c r="E4" s="4" t="s">
        <v>222</v>
      </c>
      <c r="F4" s="4" t="s">
        <v>223</v>
      </c>
      <c r="G4" s="4" t="s">
        <v>224</v>
      </c>
      <c r="H4" s="4" t="s">
        <v>225</v>
      </c>
      <c r="I4" s="4" t="s">
        <v>226</v>
      </c>
      <c r="J4" s="4" t="s">
        <v>187</v>
      </c>
      <c r="K4" s="4" t="s">
        <v>193</v>
      </c>
      <c r="L4" s="4" t="s">
        <v>227</v>
      </c>
      <c r="M4" s="4" t="s">
        <v>228</v>
      </c>
      <c r="N4" s="4" t="s">
        <v>229</v>
      </c>
      <c r="O4" s="4" t="s">
        <v>230</v>
      </c>
      <c r="P4" s="4" t="s">
        <v>231</v>
      </c>
      <c r="Q4" s="4" t="s">
        <v>232</v>
      </c>
      <c r="R4" s="4" t="s">
        <v>233</v>
      </c>
      <c r="S4" s="4" t="s">
        <v>234</v>
      </c>
      <c r="T4" s="4" t="s">
        <v>235</v>
      </c>
      <c r="U4" s="4" t="s">
        <v>236</v>
      </c>
      <c r="V4" s="4" t="s">
        <v>237</v>
      </c>
      <c r="W4" s="4" t="s">
        <v>62</v>
      </c>
      <c r="Y4" s="0" t="s">
        <v>238</v>
      </c>
      <c r="Z4" s="0" t="s">
        <v>238</v>
      </c>
      <c r="AA4" s="0" t="s">
        <v>239</v>
      </c>
      <c r="AB4" s="0" t="s">
        <v>238</v>
      </c>
      <c r="AC4" s="0" t="s">
        <v>240</v>
      </c>
      <c r="AD4" s="0" t="s">
        <v>238</v>
      </c>
    </row>
    <row r="5" customFormat="false" ht="23.85" hidden="false" customHeight="false" outlineLevel="0" collapsed="false">
      <c r="A5" s="5" t="s">
        <v>241</v>
      </c>
      <c r="B5" s="5" t="n">
        <v>1</v>
      </c>
      <c r="C5" s="5"/>
      <c r="D5" s="35" t="n">
        <v>0</v>
      </c>
      <c r="E5" s="35" t="n">
        <v>20</v>
      </c>
      <c r="F5" s="5" t="s">
        <v>242</v>
      </c>
      <c r="G5" s="35" t="n">
        <v>1</v>
      </c>
      <c r="H5" s="35" t="n">
        <v>3</v>
      </c>
      <c r="I5" s="5" t="s">
        <v>243</v>
      </c>
      <c r="J5" s="5" t="s">
        <v>244</v>
      </c>
      <c r="K5" s="5" t="s">
        <v>199</v>
      </c>
      <c r="L5" s="5" t="s">
        <v>245</v>
      </c>
      <c r="M5" s="5" t="n">
        <v>3</v>
      </c>
      <c r="N5" s="5" t="n">
        <v>3</v>
      </c>
      <c r="O5" s="5" t="n">
        <v>4</v>
      </c>
      <c r="P5" s="5" t="n">
        <v>4</v>
      </c>
      <c r="Q5" s="5" t="n">
        <v>5</v>
      </c>
      <c r="R5" s="30" t="n">
        <v>0.2</v>
      </c>
      <c r="S5" s="30" t="n">
        <v>0.15</v>
      </c>
      <c r="T5" s="30" t="n">
        <v>0.12</v>
      </c>
      <c r="U5" s="30" t="n">
        <v>0.1</v>
      </c>
      <c r="V5" s="30" t="n">
        <v>0.08</v>
      </c>
      <c r="W5" s="5" t="s">
        <v>246</v>
      </c>
      <c r="Y5" s="0" t="s">
        <v>247</v>
      </c>
      <c r="Z5" s="0" t="s">
        <v>248</v>
      </c>
      <c r="AA5" s="0" t="s">
        <v>249</v>
      </c>
      <c r="AB5" s="0" t="s">
        <v>250</v>
      </c>
      <c r="AC5" s="0" t="s">
        <v>251</v>
      </c>
      <c r="AD5" s="0" t="s">
        <v>252</v>
      </c>
    </row>
    <row r="6" customFormat="false" ht="23.85" hidden="false" customHeight="false" outlineLevel="0" collapsed="false">
      <c r="A6" s="5" t="s">
        <v>98</v>
      </c>
      <c r="B6" s="5" t="n">
        <v>2</v>
      </c>
      <c r="C6" s="5"/>
      <c r="D6" s="35" t="n">
        <v>21</v>
      </c>
      <c r="E6" s="35" t="n">
        <v>35</v>
      </c>
      <c r="F6" s="5" t="s">
        <v>253</v>
      </c>
      <c r="G6" s="35" t="n">
        <v>3</v>
      </c>
      <c r="H6" s="35" t="n">
        <v>8</v>
      </c>
      <c r="I6" s="5" t="s">
        <v>254</v>
      </c>
      <c r="J6" s="5" t="s">
        <v>255</v>
      </c>
      <c r="K6" s="5" t="s">
        <v>200</v>
      </c>
      <c r="L6" s="5" t="s">
        <v>256</v>
      </c>
      <c r="M6" s="5" t="n">
        <v>2</v>
      </c>
      <c r="N6" s="5" t="n">
        <v>3</v>
      </c>
      <c r="O6" s="5" t="n">
        <v>3</v>
      </c>
      <c r="P6" s="5" t="n">
        <v>4</v>
      </c>
      <c r="Q6" s="5" t="n">
        <v>4</v>
      </c>
      <c r="R6" s="30" t="n">
        <v>0.2</v>
      </c>
      <c r="S6" s="30" t="n">
        <v>0.15</v>
      </c>
      <c r="T6" s="30" t="n">
        <v>0.14</v>
      </c>
      <c r="U6" s="30" t="n">
        <v>0.12</v>
      </c>
      <c r="V6" s="30" t="n">
        <v>0.1</v>
      </c>
      <c r="W6" s="5" t="s">
        <v>257</v>
      </c>
      <c r="Y6" s="0" t="s">
        <v>258</v>
      </c>
      <c r="Z6" s="0" t="s">
        <v>259</v>
      </c>
      <c r="AA6" s="0" t="s">
        <v>122</v>
      </c>
      <c r="AB6" s="0" t="s">
        <v>125</v>
      </c>
      <c r="AC6" s="0" t="s">
        <v>101</v>
      </c>
      <c r="AD6" s="0" t="s">
        <v>108</v>
      </c>
    </row>
    <row r="7" customFormat="false" ht="23.85" hidden="false" customHeight="false" outlineLevel="0" collapsed="false">
      <c r="A7" s="5" t="s">
        <v>92</v>
      </c>
      <c r="B7" s="5" t="n">
        <v>3</v>
      </c>
      <c r="C7" s="5"/>
      <c r="D7" s="35" t="n">
        <v>36</v>
      </c>
      <c r="E7" s="35" t="n">
        <v>50</v>
      </c>
      <c r="F7" s="5" t="s">
        <v>260</v>
      </c>
      <c r="G7" s="35" t="n">
        <v>8</v>
      </c>
      <c r="H7" s="35" t="n">
        <v>16</v>
      </c>
      <c r="I7" s="5" t="s">
        <v>261</v>
      </c>
      <c r="J7" s="5" t="s">
        <v>262</v>
      </c>
      <c r="K7" s="5" t="s">
        <v>201</v>
      </c>
      <c r="L7" s="5" t="s">
        <v>263</v>
      </c>
      <c r="M7" s="5" t="n">
        <v>0</v>
      </c>
      <c r="N7" s="5" t="n">
        <v>4</v>
      </c>
      <c r="O7" s="5" t="n">
        <v>4</v>
      </c>
      <c r="P7" s="5" t="n">
        <v>5</v>
      </c>
      <c r="Q7" s="5" t="n">
        <v>5</v>
      </c>
      <c r="R7" s="30" t="n">
        <v>0.1</v>
      </c>
      <c r="S7" s="30" t="n">
        <v>0.08</v>
      </c>
      <c r="T7" s="30" t="n">
        <v>0.08</v>
      </c>
      <c r="U7" s="30" t="n">
        <v>0.08</v>
      </c>
      <c r="V7" s="30" t="n">
        <v>0.08</v>
      </c>
      <c r="W7" s="5" t="s">
        <v>264</v>
      </c>
      <c r="Y7" s="0" t="s">
        <v>116</v>
      </c>
      <c r="Z7" s="0" t="s">
        <v>119</v>
      </c>
      <c r="AA7" s="0" t="s">
        <v>265</v>
      </c>
      <c r="AB7" s="0" t="s">
        <v>266</v>
      </c>
      <c r="AC7" s="0" t="s">
        <v>267</v>
      </c>
      <c r="AD7" s="0" t="s">
        <v>268</v>
      </c>
    </row>
    <row r="8" customFormat="false" ht="23.85" hidden="false" customHeight="false" outlineLevel="0" collapsed="false">
      <c r="A8" s="5" t="s">
        <v>129</v>
      </c>
      <c r="B8" s="5" t="n">
        <v>4</v>
      </c>
      <c r="C8" s="5"/>
      <c r="D8" s="35" t="n">
        <v>51</v>
      </c>
      <c r="E8" s="35" t="n">
        <v>70</v>
      </c>
      <c r="F8" s="5" t="s">
        <v>269</v>
      </c>
      <c r="G8" s="35" t="n">
        <v>16</v>
      </c>
      <c r="H8" s="35" t="n">
        <v>32</v>
      </c>
      <c r="I8" s="5" t="s">
        <v>270</v>
      </c>
      <c r="J8" s="5" t="s">
        <v>271</v>
      </c>
      <c r="K8" s="5" t="s">
        <v>202</v>
      </c>
      <c r="L8" s="5" t="s">
        <v>272</v>
      </c>
      <c r="M8" s="5" t="n">
        <v>2</v>
      </c>
      <c r="N8" s="5" t="n">
        <v>3</v>
      </c>
      <c r="O8" s="5" t="n">
        <v>3</v>
      </c>
      <c r="P8" s="5" t="n">
        <v>4</v>
      </c>
      <c r="Q8" s="5" t="n">
        <v>4</v>
      </c>
      <c r="R8" s="30" t="n">
        <v>0.25</v>
      </c>
      <c r="S8" s="30" t="n">
        <v>0.3</v>
      </c>
      <c r="T8" s="30" t="n">
        <v>0.3</v>
      </c>
      <c r="U8" s="30" t="n">
        <v>0.28</v>
      </c>
      <c r="V8" s="30" t="n">
        <v>0.25</v>
      </c>
      <c r="W8" s="5" t="s">
        <v>273</v>
      </c>
      <c r="Y8" s="0" t="s">
        <v>274</v>
      </c>
      <c r="Z8" s="0" t="s">
        <v>275</v>
      </c>
      <c r="AA8" s="0" t="s">
        <v>276</v>
      </c>
      <c r="AB8" s="0" t="s">
        <v>277</v>
      </c>
      <c r="AC8" s="0" t="s">
        <v>278</v>
      </c>
      <c r="AD8" s="0" t="s">
        <v>279</v>
      </c>
    </row>
    <row r="9" customFormat="false" ht="23.85" hidden="false" customHeight="false" outlineLevel="0" collapsed="false">
      <c r="A9" s="5"/>
      <c r="B9" s="5"/>
      <c r="C9" s="5"/>
      <c r="D9" s="35" t="n">
        <v>71</v>
      </c>
      <c r="E9" s="35" t="n">
        <v>100</v>
      </c>
      <c r="F9" s="5" t="s">
        <v>280</v>
      </c>
      <c r="G9" s="35" t="n">
        <v>32</v>
      </c>
      <c r="H9" s="35" t="n">
        <v>64</v>
      </c>
      <c r="I9" s="5" t="s">
        <v>281</v>
      </c>
      <c r="J9" s="5" t="s">
        <v>282</v>
      </c>
      <c r="K9" s="5" t="s">
        <v>203</v>
      </c>
      <c r="L9" s="5" t="s">
        <v>283</v>
      </c>
      <c r="M9" s="5" t="n">
        <v>0</v>
      </c>
      <c r="N9" s="5" t="n">
        <v>3</v>
      </c>
      <c r="O9" s="5" t="n">
        <v>3</v>
      </c>
      <c r="P9" s="5" t="n">
        <v>4</v>
      </c>
      <c r="Q9" s="5" t="n">
        <v>4</v>
      </c>
      <c r="R9" s="30" t="n">
        <v>0</v>
      </c>
      <c r="S9" s="30" t="n">
        <v>0.1</v>
      </c>
      <c r="T9" s="30" t="n">
        <v>0.12</v>
      </c>
      <c r="U9" s="30" t="n">
        <v>0.14</v>
      </c>
      <c r="V9" s="30" t="n">
        <v>0.15</v>
      </c>
      <c r="W9" s="5" t="s">
        <v>284</v>
      </c>
    </row>
    <row r="10" customFormat="false" ht="23.85" hidden="false" customHeight="false" outlineLevel="0" collapsed="false">
      <c r="A10" s="4" t="s">
        <v>69</v>
      </c>
      <c r="B10" s="4" t="s">
        <v>227</v>
      </c>
      <c r="C10" s="5"/>
      <c r="D10" s="5"/>
      <c r="E10" s="5"/>
      <c r="F10" s="5"/>
      <c r="G10" s="5"/>
      <c r="H10" s="5"/>
      <c r="I10" s="5"/>
      <c r="J10" s="5"/>
      <c r="K10" s="5" t="s">
        <v>204</v>
      </c>
      <c r="L10" s="5" t="s">
        <v>285</v>
      </c>
      <c r="M10" s="5" t="n">
        <v>2</v>
      </c>
      <c r="N10" s="5" t="n">
        <v>3</v>
      </c>
      <c r="O10" s="5" t="n">
        <v>3</v>
      </c>
      <c r="P10" s="5" t="n">
        <v>4</v>
      </c>
      <c r="Q10" s="5" t="n">
        <v>4</v>
      </c>
      <c r="R10" s="30" t="n">
        <v>0.15</v>
      </c>
      <c r="S10" s="30" t="n">
        <v>0.12</v>
      </c>
      <c r="T10" s="30" t="n">
        <v>0.12</v>
      </c>
      <c r="U10" s="30" t="n">
        <v>0.13</v>
      </c>
      <c r="V10" s="30" t="n">
        <v>0.14</v>
      </c>
      <c r="W10" s="5" t="s">
        <v>286</v>
      </c>
    </row>
    <row r="11" customFormat="false" ht="23.85" hidden="false" customHeight="false" outlineLevel="0" collapsed="false">
      <c r="A11" s="5" t="s">
        <v>287</v>
      </c>
      <c r="B11" s="5" t="s">
        <v>288</v>
      </c>
      <c r="C11" s="5"/>
      <c r="D11" s="5"/>
      <c r="E11" s="5"/>
      <c r="F11" s="5"/>
      <c r="G11" s="5"/>
      <c r="H11" s="5"/>
      <c r="I11" s="5"/>
      <c r="J11" s="5"/>
      <c r="K11" s="5" t="s">
        <v>205</v>
      </c>
      <c r="L11" s="5" t="s">
        <v>289</v>
      </c>
      <c r="M11" s="5" t="n">
        <v>0</v>
      </c>
      <c r="N11" s="5" t="n">
        <v>3</v>
      </c>
      <c r="O11" s="5" t="n">
        <v>4</v>
      </c>
      <c r="P11" s="5" t="n">
        <v>4</v>
      </c>
      <c r="Q11" s="5" t="n">
        <v>5</v>
      </c>
      <c r="R11" s="30" t="n">
        <v>0</v>
      </c>
      <c r="S11" s="30" t="n">
        <v>0.03</v>
      </c>
      <c r="T11" s="30" t="n">
        <v>0.04</v>
      </c>
      <c r="U11" s="30" t="n">
        <v>0.05</v>
      </c>
      <c r="V11" s="30" t="n">
        <v>0.06</v>
      </c>
      <c r="W11" s="5" t="s">
        <v>290</v>
      </c>
    </row>
    <row r="12" customFormat="false" ht="23.85" hidden="false" customHeight="false" outlineLevel="0" collapsed="false">
      <c r="A12" s="5" t="s">
        <v>291</v>
      </c>
      <c r="B12" s="5" t="s">
        <v>292</v>
      </c>
      <c r="C12" s="5"/>
      <c r="D12" s="5"/>
      <c r="E12" s="5"/>
      <c r="F12" s="5"/>
      <c r="G12" s="5"/>
      <c r="H12" s="5"/>
      <c r="I12" s="5"/>
      <c r="J12" s="5"/>
      <c r="K12" s="5" t="s">
        <v>206</v>
      </c>
      <c r="L12" s="5" t="s">
        <v>293</v>
      </c>
      <c r="M12" s="5" t="n">
        <v>2</v>
      </c>
      <c r="N12" s="5" t="n">
        <v>3</v>
      </c>
      <c r="O12" s="5" t="n">
        <v>3</v>
      </c>
      <c r="P12" s="5" t="n">
        <v>4</v>
      </c>
      <c r="Q12" s="5" t="n">
        <v>4</v>
      </c>
      <c r="R12" s="30" t="n">
        <v>0.05</v>
      </c>
      <c r="S12" s="30" t="n">
        <v>0.05</v>
      </c>
      <c r="T12" s="30" t="n">
        <v>0.04</v>
      </c>
      <c r="U12" s="30" t="n">
        <v>0.04</v>
      </c>
      <c r="V12" s="30" t="n">
        <v>0.05</v>
      </c>
      <c r="W12" s="5" t="s">
        <v>294</v>
      </c>
    </row>
    <row r="13" customFormat="false" ht="23.85" hidden="false" customHeight="false" outlineLevel="0" collapsed="false">
      <c r="A13" s="5" t="s">
        <v>295</v>
      </c>
      <c r="B13" s="5" t="s">
        <v>296</v>
      </c>
      <c r="C13" s="5"/>
      <c r="D13" s="5"/>
      <c r="E13" s="5"/>
      <c r="F13" s="5"/>
      <c r="G13" s="5"/>
      <c r="H13" s="5"/>
      <c r="I13" s="5"/>
      <c r="J13" s="5"/>
      <c r="K13" s="5" t="s">
        <v>207</v>
      </c>
      <c r="L13" s="5" t="s">
        <v>297</v>
      </c>
      <c r="M13" s="5" t="n">
        <v>0</v>
      </c>
      <c r="N13" s="5" t="n">
        <v>0</v>
      </c>
      <c r="O13" s="5" t="n">
        <v>3</v>
      </c>
      <c r="P13" s="5" t="n">
        <v>4</v>
      </c>
      <c r="Q13" s="5" t="n">
        <v>4</v>
      </c>
      <c r="R13" s="30" t="n">
        <v>0</v>
      </c>
      <c r="S13" s="30" t="n">
        <v>0</v>
      </c>
      <c r="T13" s="30" t="n">
        <v>0.02</v>
      </c>
      <c r="U13" s="30" t="n">
        <v>0.03</v>
      </c>
      <c r="V13" s="30" t="n">
        <v>0.04</v>
      </c>
      <c r="W13" s="5" t="s">
        <v>298</v>
      </c>
    </row>
    <row r="14" customFormat="false" ht="23.85" hidden="false" customHeight="false" outlineLevel="0" collapsed="false">
      <c r="A14" s="5" t="s">
        <v>299</v>
      </c>
      <c r="B14" s="5" t="s">
        <v>300</v>
      </c>
      <c r="C14" s="5"/>
      <c r="D14" s="5"/>
      <c r="E14" s="5"/>
      <c r="F14" s="5"/>
      <c r="G14" s="5"/>
      <c r="H14" s="5"/>
      <c r="I14" s="5"/>
      <c r="J14" s="5"/>
      <c r="K14" s="5" t="s">
        <v>208</v>
      </c>
      <c r="L14" s="5" t="s">
        <v>301</v>
      </c>
      <c r="M14" s="5" t="n">
        <v>0</v>
      </c>
      <c r="N14" s="5" t="n">
        <v>2</v>
      </c>
      <c r="O14" s="5" t="n">
        <v>3</v>
      </c>
      <c r="P14" s="5" t="n">
        <v>3</v>
      </c>
      <c r="Q14" s="5" t="n">
        <v>4</v>
      </c>
      <c r="R14" s="30" t="n">
        <v>0</v>
      </c>
      <c r="S14" s="30" t="n">
        <v>0.02</v>
      </c>
      <c r="T14" s="30" t="n">
        <v>0.02</v>
      </c>
      <c r="U14" s="30" t="n">
        <v>0.02</v>
      </c>
      <c r="V14" s="30" t="n">
        <v>0.03</v>
      </c>
      <c r="W14" s="5" t="s">
        <v>302</v>
      </c>
    </row>
    <row r="15" customFormat="false" ht="23.85" hidden="false" customHeight="false" outlineLevel="0" collapsed="false">
      <c r="A15" s="5" t="s">
        <v>303</v>
      </c>
      <c r="B15" s="5" t="s">
        <v>304</v>
      </c>
      <c r="C15" s="5"/>
      <c r="D15" s="5"/>
      <c r="E15" s="5"/>
      <c r="F15" s="5"/>
      <c r="G15" s="5"/>
      <c r="H15" s="5"/>
      <c r="I15" s="5"/>
      <c r="J15" s="5"/>
      <c r="K15" s="5" t="s">
        <v>209</v>
      </c>
      <c r="L15" s="5" t="s">
        <v>305</v>
      </c>
      <c r="M15" s="5" t="n">
        <v>0</v>
      </c>
      <c r="N15" s="5" t="n">
        <v>0</v>
      </c>
      <c r="O15" s="5" t="n">
        <v>0</v>
      </c>
      <c r="P15" s="5" t="n">
        <v>3</v>
      </c>
      <c r="Q15" s="5" t="n">
        <v>4</v>
      </c>
      <c r="R15" s="30" t="n">
        <v>0.05</v>
      </c>
      <c r="S15" s="30" t="n">
        <v>0</v>
      </c>
      <c r="T15" s="30" t="n">
        <v>0</v>
      </c>
      <c r="U15" s="30" t="n">
        <v>0.01</v>
      </c>
      <c r="V15" s="30" t="n">
        <v>0.02</v>
      </c>
      <c r="W15" s="5" t="s">
        <v>306</v>
      </c>
    </row>
    <row r="16" customFormat="false" ht="23.85" hidden="false" customHeight="false" outlineLevel="0" collapsed="false">
      <c r="A16" s="5" t="s">
        <v>307</v>
      </c>
      <c r="B16" s="5" t="s">
        <v>308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30"/>
      <c r="S16" s="30"/>
      <c r="T16" s="30"/>
      <c r="U16" s="30"/>
      <c r="V16" s="30"/>
      <c r="W16" s="5"/>
    </row>
    <row r="17" customFormat="false" ht="23.85" hidden="false" customHeight="false" outlineLevel="0" collapsed="false">
      <c r="A17" s="5" t="s">
        <v>70</v>
      </c>
      <c r="B17" s="5" t="s">
        <v>309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30" t="n">
        <f aca="false">SUM(R5:R15)</f>
        <v>1</v>
      </c>
      <c r="S17" s="30" t="n">
        <f aca="false">SUM(S5:S15)</f>
        <v>1</v>
      </c>
      <c r="T17" s="30" t="n">
        <f aca="false">SUM(T5:T15)</f>
        <v>1</v>
      </c>
      <c r="U17" s="30" t="n">
        <f aca="false">SUM(U5:U15)</f>
        <v>1</v>
      </c>
      <c r="V17" s="30" t="n">
        <f aca="false">SUM(V5:V15)</f>
        <v>1</v>
      </c>
      <c r="W17" s="5" t="s">
        <v>310</v>
      </c>
    </row>
    <row r="18" customFormat="false" ht="14.2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customFormat="false" ht="14.2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customFormat="false" ht="14.2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customFormat="false" ht="14.2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customFormat="false" ht="14.2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customFormat="false" ht="14.2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customFormat="false" ht="14.2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customFormat="false" ht="14.2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customFormat="false" ht="14.2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customFormat="false" ht="14.2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customFormat="false" ht="14.2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customFormat="false" ht="14.2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customFormat="false" ht="14.2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customFormat="false" ht="14.2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14.2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14.2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14.2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14.2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14.2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14.2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14.2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14.2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14.2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14.2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4.2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4.2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4.2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4.2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4.2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14.2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4.2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4.2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4.2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4.2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4.2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4.2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customFormat="false" ht="14.2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customFormat="false" ht="14.2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customFormat="false" ht="14.2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customFormat="false" ht="14.2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customFormat="false" ht="14.2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customFormat="false" ht="14.2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customFormat="false" ht="14.2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customFormat="false" ht="14.2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customFormat="false" ht="14.2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customFormat="false" ht="14.2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customFormat="false" ht="14.2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customFormat="false" ht="14.2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customFormat="false" ht="14.2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customFormat="false" ht="14.2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customFormat="false" ht="14.2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customFormat="false" ht="14.2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customFormat="false" ht="14.2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customFormat="false" ht="14.2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customFormat="false" ht="14.2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customFormat="false" ht="14.2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customFormat="false" ht="14.2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customFormat="false" ht="14.2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customFormat="false" ht="14.2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customFormat="false" ht="14.2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customFormat="false" ht="14.2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customFormat="false" ht="14.2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customFormat="false" ht="14.2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customFormat="false" ht="14.2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customFormat="false" ht="14.2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customFormat="false" ht="14.2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customFormat="false" ht="14.2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customFormat="false" ht="14.2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customFormat="false" ht="14.2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customFormat="false" ht="14.2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customFormat="false" ht="14.2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customFormat="false" ht="14.2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customFormat="false" ht="14.2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customFormat="false" ht="14.2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customFormat="false" ht="14.2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customFormat="false" ht="14.2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customFormat="false" ht="14.2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customFormat="false" ht="14.2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customFormat="false" ht="14.2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customFormat="false" ht="14.2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customFormat="false" ht="14.2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customFormat="false" ht="14.2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customFormat="false" ht="14.2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customFormat="false" ht="14.2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customFormat="false" ht="14.2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customFormat="false" ht="14.2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customFormat="false" ht="14.2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customFormat="false" ht="14.2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customFormat="false" ht="14.2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customFormat="false" ht="14.2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customFormat="false" ht="14.2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customFormat="false" ht="14.2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customFormat="false" ht="14.2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customFormat="false" ht="14.2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customFormat="false" ht="14.2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customFormat="false" ht="14.2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customFormat="false" ht="14.2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customFormat="false" ht="14.2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customFormat="false" ht="14.2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customFormat="false" ht="14.2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customFormat="false" ht="14.2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customFormat="false" ht="14.2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customFormat="false" ht="14.2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customFormat="false" ht="14.2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customFormat="false" ht="14.2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customFormat="false" ht="14.2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customFormat="false" ht="14.2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customFormat="false" ht="14.2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customFormat="false" ht="14.2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customFormat="false" ht="14.2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customFormat="false" ht="14.2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customFormat="false" ht="14.2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customFormat="false" ht="14.2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customFormat="false" ht="14.2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customFormat="false" ht="14.2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customFormat="false" ht="14.2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customFormat="false" ht="14.2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customFormat="false" ht="14.2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customFormat="false" ht="14.2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customFormat="false" ht="14.2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customFormat="false" ht="14.2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customFormat="false" ht="14.2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customFormat="false" ht="14.2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customFormat="false" ht="14.2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customFormat="false" ht="14.2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customFormat="false" ht="14.2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customFormat="false" ht="14.2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customFormat="false" ht="14.2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customFormat="false" ht="14.2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customFormat="false" ht="14.2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customFormat="false" ht="14.2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customFormat="false" ht="14.2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customFormat="false" ht="14.2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customFormat="false" ht="14.2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customFormat="false" ht="14.2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customFormat="false" ht="14.2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customFormat="false" ht="14.2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customFormat="false" ht="14.2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customFormat="false" ht="14.2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customFormat="false" ht="14.2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customFormat="false" ht="14.2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customFormat="false" ht="14.2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customFormat="false" ht="14.2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customFormat="false" ht="14.2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customFormat="false" ht="14.2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customFormat="false" ht="14.2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customFormat="false" ht="14.2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customFormat="false" ht="14.2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customFormat="false" ht="14.2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customFormat="false" ht="14.2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customFormat="false" ht="14.2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customFormat="false" ht="14.2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customFormat="false" ht="14.2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customFormat="false" ht="14.2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customFormat="false" ht="14.2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customFormat="false" ht="14.2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customFormat="false" ht="14.2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customFormat="false" ht="14.2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customFormat="false" ht="14.2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customFormat="false" ht="14.2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customFormat="false" ht="14.2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customFormat="false" ht="14.2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customFormat="false" ht="14.2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customFormat="false" ht="14.2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customFormat="false" ht="14.2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customFormat="false" ht="14.2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customFormat="false" ht="14.2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customFormat="false" ht="14.2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customFormat="false" ht="14.2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customFormat="false" ht="14.2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customFormat="false" ht="14.2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customFormat="false" ht="14.2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customFormat="false" ht="14.2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customFormat="false" ht="14.2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customFormat="false" ht="14.2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customFormat="false" ht="14.2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customFormat="false" ht="14.2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customFormat="false" ht="14.2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customFormat="false" ht="14.2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customFormat="false" ht="14.2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customFormat="false" ht="14.2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customFormat="false" ht="14.2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customFormat="false" ht="14.2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</sheetData>
  <mergeCells count="3">
    <mergeCell ref="A1:W1"/>
    <mergeCell ref="D3:J3"/>
    <mergeCell ref="K3:W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42"/>
    <col collapsed="false" customWidth="true" hidden="false" outlineLevel="0" max="13" min="13" style="0" width="30"/>
  </cols>
  <sheetData>
    <row r="1" customFormat="false" ht="27.7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customFormat="false" ht="14.25" hidden="false" customHeight="fals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23.85" hidden="false" customHeight="false" outlineLevel="0" collapsed="false">
      <c r="A3" s="4" t="s">
        <v>311</v>
      </c>
      <c r="B3" s="4" t="s">
        <v>177</v>
      </c>
      <c r="C3" s="4" t="s">
        <v>178</v>
      </c>
      <c r="D3" s="4" t="s">
        <v>312</v>
      </c>
      <c r="E3" s="4" t="s">
        <v>224</v>
      </c>
      <c r="F3" s="4" t="s">
        <v>225</v>
      </c>
      <c r="G3" s="4" t="s">
        <v>313</v>
      </c>
      <c r="H3" s="4" t="s">
        <v>314</v>
      </c>
      <c r="I3" s="4" t="s">
        <v>315</v>
      </c>
      <c r="J3" s="4" t="s">
        <v>316</v>
      </c>
      <c r="K3" s="4" t="s">
        <v>317</v>
      </c>
      <c r="L3" s="4" t="s">
        <v>318</v>
      </c>
      <c r="M3" s="4" t="s">
        <v>319</v>
      </c>
      <c r="N3" s="20"/>
      <c r="O3" s="20"/>
      <c r="P3" s="20"/>
      <c r="Q3" s="20"/>
      <c r="R3" s="20"/>
      <c r="S3" s="20"/>
      <c r="T3" s="20"/>
      <c r="U3" s="20"/>
      <c r="V3" s="20"/>
      <c r="W3" s="20"/>
    </row>
    <row r="4" customFormat="false" ht="14.25" hidden="false" customHeight="false" outlineLevel="0" collapsed="false">
      <c r="A4" s="36"/>
      <c r="B4" s="5"/>
      <c r="C4" s="5"/>
      <c r="D4" s="5"/>
      <c r="E4" s="31"/>
      <c r="F4" s="31"/>
      <c r="G4" s="31"/>
      <c r="H4" s="31"/>
      <c r="I4" s="31"/>
      <c r="J4" s="31" t="n">
        <f aca="false">IFERROR(H4-G4,"")</f>
        <v>0</v>
      </c>
      <c r="K4" s="37" t="str">
        <f aca="false">IF(ABS(J4)&gt;=0.5,"Sí","No")</f>
        <v>No</v>
      </c>
      <c r="L4" s="5"/>
      <c r="M4" s="5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customFormat="false" ht="14.25" hidden="false" customHeight="false" outlineLevel="0" collapsed="false">
      <c r="A5" s="36"/>
      <c r="B5" s="5"/>
      <c r="C5" s="5"/>
      <c r="D5" s="5"/>
      <c r="E5" s="31"/>
      <c r="F5" s="31"/>
      <c r="G5" s="31"/>
      <c r="H5" s="31"/>
      <c r="I5" s="31"/>
      <c r="J5" s="31" t="n">
        <f aca="false">IFERROR(H5-G5,"")</f>
        <v>0</v>
      </c>
      <c r="K5" s="37" t="str">
        <f aca="false">IF(ABS(J5)&gt;=0.5,"Sí","No")</f>
        <v>No</v>
      </c>
      <c r="L5" s="5"/>
      <c r="M5" s="5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customFormat="false" ht="14.25" hidden="false" customHeight="false" outlineLevel="0" collapsed="false">
      <c r="A6" s="36"/>
      <c r="B6" s="5"/>
      <c r="C6" s="5"/>
      <c r="D6" s="5"/>
      <c r="E6" s="31"/>
      <c r="F6" s="31"/>
      <c r="G6" s="31"/>
      <c r="H6" s="31"/>
      <c r="I6" s="31"/>
      <c r="J6" s="31" t="n">
        <f aca="false">IFERROR(H6-G6,"")</f>
        <v>0</v>
      </c>
      <c r="K6" s="37" t="str">
        <f aca="false">IF(ABS(J6)&gt;=0.5,"Sí","No")</f>
        <v>No</v>
      </c>
      <c r="L6" s="5"/>
      <c r="M6" s="5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customFormat="false" ht="14.25" hidden="false" customHeight="false" outlineLevel="0" collapsed="false">
      <c r="A7" s="36"/>
      <c r="B7" s="5"/>
      <c r="C7" s="5"/>
      <c r="D7" s="5"/>
      <c r="E7" s="31"/>
      <c r="F7" s="31"/>
      <c r="G7" s="31"/>
      <c r="H7" s="31"/>
      <c r="I7" s="31"/>
      <c r="J7" s="31" t="n">
        <f aca="false">IFERROR(H7-G7,"")</f>
        <v>0</v>
      </c>
      <c r="K7" s="37" t="str">
        <f aca="false">IF(ABS(J7)&gt;=0.5,"Sí","No")</f>
        <v>No</v>
      </c>
      <c r="L7" s="5"/>
      <c r="M7" s="5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customFormat="false" ht="14.25" hidden="false" customHeight="false" outlineLevel="0" collapsed="false">
      <c r="A8" s="36"/>
      <c r="B8" s="5"/>
      <c r="C8" s="5"/>
      <c r="D8" s="5"/>
      <c r="E8" s="31"/>
      <c r="F8" s="31"/>
      <c r="G8" s="31"/>
      <c r="H8" s="31"/>
      <c r="I8" s="31"/>
      <c r="J8" s="31" t="n">
        <f aca="false">IFERROR(H8-G8,"")</f>
        <v>0</v>
      </c>
      <c r="K8" s="37" t="str">
        <f aca="false">IF(ABS(J8)&gt;=0.5,"Sí","No")</f>
        <v>No</v>
      </c>
      <c r="L8" s="5"/>
      <c r="M8" s="5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customFormat="false" ht="14.25" hidden="false" customHeight="false" outlineLevel="0" collapsed="false">
      <c r="A9" s="36"/>
      <c r="B9" s="5"/>
      <c r="C9" s="5"/>
      <c r="D9" s="5"/>
      <c r="E9" s="31"/>
      <c r="F9" s="31"/>
      <c r="G9" s="31"/>
      <c r="H9" s="31"/>
      <c r="I9" s="31"/>
      <c r="J9" s="31" t="n">
        <f aca="false">IFERROR(H9-G9,"")</f>
        <v>0</v>
      </c>
      <c r="K9" s="37" t="str">
        <f aca="false">IF(ABS(J9)&gt;=0.5,"Sí","No")</f>
        <v>No</v>
      </c>
      <c r="L9" s="5"/>
      <c r="M9" s="5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customFormat="false" ht="14.25" hidden="false" customHeight="false" outlineLevel="0" collapsed="false">
      <c r="A10" s="36"/>
      <c r="B10" s="5"/>
      <c r="C10" s="5"/>
      <c r="D10" s="5"/>
      <c r="E10" s="31"/>
      <c r="F10" s="31"/>
      <c r="G10" s="31"/>
      <c r="H10" s="31"/>
      <c r="I10" s="31"/>
      <c r="J10" s="31" t="n">
        <f aca="false">IFERROR(H10-G10,"")</f>
        <v>0</v>
      </c>
      <c r="K10" s="37" t="str">
        <f aca="false">IF(ABS(J10)&gt;=0.5,"Sí","No")</f>
        <v>No</v>
      </c>
      <c r="L10" s="5"/>
      <c r="M10" s="5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customFormat="false" ht="14.25" hidden="false" customHeight="false" outlineLevel="0" collapsed="false">
      <c r="A11" s="36"/>
      <c r="B11" s="5"/>
      <c r="C11" s="5"/>
      <c r="D11" s="5"/>
      <c r="E11" s="31"/>
      <c r="F11" s="31"/>
      <c r="G11" s="31"/>
      <c r="H11" s="31"/>
      <c r="I11" s="31"/>
      <c r="J11" s="31" t="n">
        <f aca="false">IFERROR(H11-G11,"")</f>
        <v>0</v>
      </c>
      <c r="K11" s="37" t="str">
        <f aca="false">IF(ABS(J11)&gt;=0.5,"Sí","No")</f>
        <v>No</v>
      </c>
      <c r="L11" s="5"/>
      <c r="M11" s="5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customFormat="false" ht="14.25" hidden="false" customHeight="false" outlineLevel="0" collapsed="false">
      <c r="A12" s="36"/>
      <c r="B12" s="5"/>
      <c r="C12" s="5"/>
      <c r="D12" s="5"/>
      <c r="E12" s="31"/>
      <c r="F12" s="31"/>
      <c r="G12" s="31"/>
      <c r="H12" s="31"/>
      <c r="I12" s="31"/>
      <c r="J12" s="31" t="n">
        <f aca="false">IFERROR(H12-G12,"")</f>
        <v>0</v>
      </c>
      <c r="K12" s="37" t="str">
        <f aca="false">IF(ABS(J12)&gt;=0.5,"Sí","No")</f>
        <v>No</v>
      </c>
      <c r="L12" s="5"/>
      <c r="M12" s="5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customFormat="false" ht="14.25" hidden="false" customHeight="false" outlineLevel="0" collapsed="false">
      <c r="A13" s="36"/>
      <c r="B13" s="5"/>
      <c r="C13" s="5"/>
      <c r="D13" s="5"/>
      <c r="E13" s="31"/>
      <c r="F13" s="31"/>
      <c r="G13" s="31"/>
      <c r="H13" s="31"/>
      <c r="I13" s="31"/>
      <c r="J13" s="31" t="n">
        <f aca="false">IFERROR(H13-G13,"")</f>
        <v>0</v>
      </c>
      <c r="K13" s="37" t="str">
        <f aca="false">IF(ABS(J13)&gt;=0.5,"Sí","No")</f>
        <v>No</v>
      </c>
      <c r="L13" s="5"/>
      <c r="M13" s="5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customFormat="false" ht="14.25" hidden="false" customHeight="false" outlineLevel="0" collapsed="false">
      <c r="A14" s="36"/>
      <c r="B14" s="5"/>
      <c r="C14" s="5"/>
      <c r="D14" s="5"/>
      <c r="E14" s="31"/>
      <c r="F14" s="31"/>
      <c r="G14" s="31"/>
      <c r="H14" s="31"/>
      <c r="I14" s="31"/>
      <c r="J14" s="31" t="n">
        <f aca="false">IFERROR(H14-G14,"")</f>
        <v>0</v>
      </c>
      <c r="K14" s="37" t="str">
        <f aca="false">IF(ABS(J14)&gt;=0.5,"Sí","No")</f>
        <v>No</v>
      </c>
      <c r="L14" s="5"/>
      <c r="M14" s="5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customFormat="false" ht="14.25" hidden="false" customHeight="false" outlineLevel="0" collapsed="false">
      <c r="A15" s="36"/>
      <c r="B15" s="5"/>
      <c r="C15" s="5"/>
      <c r="D15" s="5"/>
      <c r="E15" s="31"/>
      <c r="F15" s="31"/>
      <c r="G15" s="31"/>
      <c r="H15" s="31"/>
      <c r="I15" s="31"/>
      <c r="J15" s="31" t="n">
        <f aca="false">IFERROR(H15-G15,"")</f>
        <v>0</v>
      </c>
      <c r="K15" s="37" t="str">
        <f aca="false">IF(ABS(J15)&gt;=0.5,"Sí","No")</f>
        <v>No</v>
      </c>
      <c r="L15" s="5"/>
      <c r="M15" s="5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customFormat="false" ht="14.25" hidden="false" customHeight="false" outlineLevel="0" collapsed="false">
      <c r="A16" s="36"/>
      <c r="B16" s="5"/>
      <c r="C16" s="5"/>
      <c r="D16" s="5"/>
      <c r="E16" s="31"/>
      <c r="F16" s="31"/>
      <c r="G16" s="31"/>
      <c r="H16" s="31"/>
      <c r="I16" s="31"/>
      <c r="J16" s="31" t="n">
        <f aca="false">IFERROR(H16-G16,"")</f>
        <v>0</v>
      </c>
      <c r="K16" s="37" t="str">
        <f aca="false">IF(ABS(J16)&gt;=0.5,"Sí","No")</f>
        <v>No</v>
      </c>
      <c r="L16" s="5"/>
      <c r="M16" s="5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customFormat="false" ht="14.25" hidden="false" customHeight="false" outlineLevel="0" collapsed="false">
      <c r="A17" s="36"/>
      <c r="B17" s="5"/>
      <c r="C17" s="5"/>
      <c r="D17" s="5"/>
      <c r="E17" s="31"/>
      <c r="F17" s="31"/>
      <c r="G17" s="31"/>
      <c r="H17" s="31"/>
      <c r="I17" s="31"/>
      <c r="J17" s="31" t="n">
        <f aca="false">IFERROR(H17-G17,"")</f>
        <v>0</v>
      </c>
      <c r="K17" s="37" t="str">
        <f aca="false">IF(ABS(J17)&gt;=0.5,"Sí","No")</f>
        <v>No</v>
      </c>
      <c r="L17" s="5"/>
      <c r="M17" s="5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customFormat="false" ht="14.25" hidden="false" customHeight="false" outlineLevel="0" collapsed="false">
      <c r="A18" s="36"/>
      <c r="B18" s="5"/>
      <c r="C18" s="5"/>
      <c r="D18" s="5"/>
      <c r="E18" s="31"/>
      <c r="F18" s="31"/>
      <c r="G18" s="31"/>
      <c r="H18" s="31"/>
      <c r="I18" s="31"/>
      <c r="J18" s="31" t="n">
        <f aca="false">IFERROR(H18-G18,"")</f>
        <v>0</v>
      </c>
      <c r="K18" s="37" t="str">
        <f aca="false">IF(ABS(J18)&gt;=0.5,"Sí","No")</f>
        <v>No</v>
      </c>
      <c r="L18" s="5"/>
      <c r="M18" s="5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customFormat="false" ht="14.25" hidden="false" customHeight="false" outlineLevel="0" collapsed="false">
      <c r="A19" s="36"/>
      <c r="B19" s="5"/>
      <c r="C19" s="5"/>
      <c r="D19" s="5"/>
      <c r="E19" s="31"/>
      <c r="F19" s="31"/>
      <c r="G19" s="31"/>
      <c r="H19" s="31"/>
      <c r="I19" s="31"/>
      <c r="J19" s="31" t="n">
        <f aca="false">IFERROR(H19-G19,"")</f>
        <v>0</v>
      </c>
      <c r="K19" s="37" t="str">
        <f aca="false">IF(ABS(J19)&gt;=0.5,"Sí","No")</f>
        <v>No</v>
      </c>
      <c r="L19" s="5"/>
      <c r="M19" s="5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customFormat="false" ht="14.25" hidden="false" customHeight="false" outlineLevel="0" collapsed="false">
      <c r="A20" s="36"/>
      <c r="B20" s="5"/>
      <c r="C20" s="5"/>
      <c r="D20" s="5"/>
      <c r="E20" s="31"/>
      <c r="F20" s="31"/>
      <c r="G20" s="31"/>
      <c r="H20" s="31"/>
      <c r="I20" s="31"/>
      <c r="J20" s="31" t="n">
        <f aca="false">IFERROR(H20-G20,"")</f>
        <v>0</v>
      </c>
      <c r="K20" s="37" t="str">
        <f aca="false">IF(ABS(J20)&gt;=0.5,"Sí","No")</f>
        <v>No</v>
      </c>
      <c r="L20" s="5"/>
      <c r="M20" s="5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customFormat="false" ht="14.25" hidden="false" customHeight="false" outlineLevel="0" collapsed="false">
      <c r="A21" s="36"/>
      <c r="B21" s="5"/>
      <c r="C21" s="5"/>
      <c r="D21" s="5"/>
      <c r="E21" s="31"/>
      <c r="F21" s="31"/>
      <c r="G21" s="31"/>
      <c r="H21" s="31"/>
      <c r="I21" s="31"/>
      <c r="J21" s="31" t="n">
        <f aca="false">IFERROR(H21-G21,"")</f>
        <v>0</v>
      </c>
      <c r="K21" s="37" t="str">
        <f aca="false">IF(ABS(J21)&gt;=0.5,"Sí","No")</f>
        <v>No</v>
      </c>
      <c r="L21" s="5"/>
      <c r="M21" s="5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customFormat="false" ht="14.25" hidden="false" customHeight="false" outlineLevel="0" collapsed="false">
      <c r="A22" s="36"/>
      <c r="B22" s="5"/>
      <c r="C22" s="5"/>
      <c r="D22" s="5"/>
      <c r="E22" s="31"/>
      <c r="F22" s="31"/>
      <c r="G22" s="31"/>
      <c r="H22" s="31"/>
      <c r="I22" s="31"/>
      <c r="J22" s="31" t="n">
        <f aca="false">IFERROR(H22-G22,"")</f>
        <v>0</v>
      </c>
      <c r="K22" s="37" t="str">
        <f aca="false">IF(ABS(J22)&gt;=0.5,"Sí","No")</f>
        <v>No</v>
      </c>
      <c r="L22" s="5"/>
      <c r="M22" s="5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customFormat="false" ht="14.25" hidden="false" customHeight="false" outlineLevel="0" collapsed="false">
      <c r="A23" s="36"/>
      <c r="B23" s="5"/>
      <c r="C23" s="5"/>
      <c r="D23" s="5"/>
      <c r="E23" s="31"/>
      <c r="F23" s="31"/>
      <c r="G23" s="31"/>
      <c r="H23" s="31"/>
      <c r="I23" s="31"/>
      <c r="J23" s="31" t="n">
        <f aca="false">IFERROR(H23-G23,"")</f>
        <v>0</v>
      </c>
      <c r="K23" s="37" t="str">
        <f aca="false">IF(ABS(J23)&gt;=0.5,"Sí","No")</f>
        <v>No</v>
      </c>
      <c r="L23" s="5"/>
      <c r="M23" s="5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customFormat="false" ht="14.2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customFormat="false" ht="14.2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customFormat="false" ht="14.2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customFormat="false" ht="14.2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customFormat="false" ht="14.2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customFormat="false" ht="14.2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customFormat="false" ht="14.2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customFormat="false" ht="14.2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14.2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14.2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14.2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14.2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14.2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14.2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14.2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14.2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14.2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14.2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4.2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4.2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4.2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4.2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4.2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14.2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4.2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4.2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4.2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4.2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4.2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4.2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customFormat="false" ht="14.2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customFormat="false" ht="14.2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customFormat="false" ht="14.2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customFormat="false" ht="14.2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customFormat="false" ht="14.2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customFormat="false" ht="14.2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customFormat="false" ht="14.2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customFormat="false" ht="14.2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customFormat="false" ht="14.2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customFormat="false" ht="14.2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customFormat="false" ht="14.2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customFormat="false" ht="14.2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customFormat="false" ht="14.2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customFormat="false" ht="14.2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customFormat="false" ht="14.2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customFormat="false" ht="14.2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customFormat="false" ht="14.2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customFormat="false" ht="14.2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customFormat="false" ht="14.2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customFormat="false" ht="14.2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customFormat="false" ht="14.2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customFormat="false" ht="14.2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customFormat="false" ht="14.2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customFormat="false" ht="14.2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customFormat="false" ht="14.2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customFormat="false" ht="14.2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customFormat="false" ht="14.2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customFormat="false" ht="14.2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customFormat="false" ht="14.2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customFormat="false" ht="14.2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customFormat="false" ht="14.2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customFormat="false" ht="14.2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customFormat="false" ht="14.2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customFormat="false" ht="14.2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customFormat="false" ht="14.2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customFormat="false" ht="14.2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customFormat="false" ht="14.2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customFormat="false" ht="14.2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customFormat="false" ht="14.2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customFormat="false" ht="14.2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customFormat="false" ht="14.2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customFormat="false" ht="14.2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customFormat="false" ht="14.2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customFormat="false" ht="14.2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customFormat="false" ht="14.2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customFormat="false" ht="14.2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customFormat="false" ht="14.2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customFormat="false" ht="14.2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customFormat="false" ht="14.2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customFormat="false" ht="14.2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customFormat="false" ht="14.2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customFormat="false" ht="14.2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customFormat="false" ht="14.2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customFormat="false" ht="14.2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customFormat="false" ht="14.2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customFormat="false" ht="14.2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customFormat="false" ht="14.2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customFormat="false" ht="14.2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customFormat="false" ht="14.2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customFormat="false" ht="14.2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customFormat="false" ht="14.2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customFormat="false" ht="14.2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customFormat="false" ht="14.2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customFormat="false" ht="14.2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customFormat="false" ht="14.2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customFormat="false" ht="14.2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customFormat="false" ht="14.2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customFormat="false" ht="14.2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customFormat="false" ht="14.2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customFormat="false" ht="14.2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customFormat="false" ht="14.2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customFormat="false" ht="14.2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customFormat="false" ht="14.2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customFormat="false" ht="14.2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customFormat="false" ht="14.2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customFormat="false" ht="14.2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customFormat="false" ht="14.2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customFormat="false" ht="14.2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customFormat="false" ht="14.2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customFormat="false" ht="14.2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customFormat="false" ht="14.2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customFormat="false" ht="14.2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customFormat="false" ht="14.2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customFormat="false" ht="14.2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customFormat="false" ht="14.2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customFormat="false" ht="14.2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customFormat="false" ht="14.2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customFormat="false" ht="14.2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customFormat="false" ht="14.2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customFormat="false" ht="14.2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customFormat="false" ht="14.2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customFormat="false" ht="14.2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customFormat="false" ht="14.2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customFormat="false" ht="14.2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customFormat="false" ht="14.2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customFormat="false" ht="14.2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customFormat="false" ht="14.2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customFormat="false" ht="14.2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customFormat="false" ht="14.2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customFormat="false" ht="14.2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customFormat="false" ht="14.2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customFormat="false" ht="14.2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customFormat="false" ht="14.2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customFormat="false" ht="14.2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customFormat="false" ht="14.2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customFormat="false" ht="14.2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customFormat="false" ht="14.2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customFormat="false" ht="14.2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customFormat="false" ht="14.2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customFormat="false" ht="14.2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customFormat="false" ht="14.2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customFormat="false" ht="14.2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customFormat="false" ht="14.2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customFormat="false" ht="14.2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customFormat="false" ht="14.2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customFormat="false" ht="14.2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customFormat="false" ht="14.2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customFormat="false" ht="14.2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customFormat="false" ht="14.2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customFormat="false" ht="14.2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customFormat="false" ht="14.2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customFormat="false" ht="14.2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customFormat="false" ht="14.2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customFormat="false" ht="14.2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customFormat="false" ht="14.2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customFormat="false" ht="14.2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customFormat="false" ht="14.2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customFormat="false" ht="14.2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customFormat="false" ht="14.2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customFormat="false" ht="14.2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customFormat="false" ht="14.2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customFormat="false" ht="14.2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customFormat="false" ht="14.2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customFormat="false" ht="14.2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customFormat="false" ht="14.2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customFormat="false" ht="14.2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customFormat="false" ht="14.2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customFormat="false" ht="14.2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customFormat="false" ht="14.2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customFormat="false" ht="14.2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customFormat="false" ht="14.2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customFormat="false" ht="14.2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customFormat="false" ht="14.2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customFormat="false" ht="14.2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customFormat="false" ht="14.2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customFormat="false" ht="14.2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customFormat="false" ht="14.2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</sheetData>
  <mergeCells count="1">
    <mergeCell ref="A1:M1"/>
  </mergeCells>
  <dataValidations count="1">
    <dataValidation allowBlank="false" errorStyle="stop" operator="between" showDropDown="false" showErrorMessage="false" showInputMessage="false" sqref="K4:K23" type="list">
      <formula1>"Sí,No"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32"/>
    <col collapsed="false" customWidth="true" hidden="false" outlineLevel="0" max="5" min="5" style="0" width="36"/>
    <col collapsed="false" customWidth="true" hidden="false" outlineLevel="0" max="6" min="6" style="0" width="42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  <c r="F1" s="1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customFormat="false" ht="14.25" hidden="false" customHeight="fals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14.25" hidden="false" customHeight="false" outlineLevel="0" collapsed="false">
      <c r="A3" s="4" t="s">
        <v>191</v>
      </c>
      <c r="B3" s="4" t="s">
        <v>320</v>
      </c>
      <c r="C3" s="4" t="s">
        <v>321</v>
      </c>
      <c r="D3" s="4" t="s">
        <v>322</v>
      </c>
      <c r="E3" s="4" t="s">
        <v>323</v>
      </c>
      <c r="F3" s="4" t="s">
        <v>324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customFormat="false" ht="23.85" hidden="false" customHeight="false" outlineLevel="0" collapsed="false">
      <c r="A4" s="5" t="n">
        <v>0</v>
      </c>
      <c r="B4" s="5" t="s">
        <v>325</v>
      </c>
      <c r="C4" s="5" t="s">
        <v>326</v>
      </c>
      <c r="D4" s="5" t="s">
        <v>327</v>
      </c>
      <c r="E4" s="5" t="s">
        <v>328</v>
      </c>
      <c r="F4" s="5" t="s">
        <v>329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customFormat="false" ht="14.25" hidden="false" customHeight="false" outlineLevel="0" collapsed="false">
      <c r="A5" s="5" t="n">
        <v>1</v>
      </c>
      <c r="B5" s="5" t="s">
        <v>330</v>
      </c>
      <c r="C5" s="5" t="s">
        <v>331</v>
      </c>
      <c r="D5" s="5" t="s">
        <v>332</v>
      </c>
      <c r="E5" s="5" t="s">
        <v>333</v>
      </c>
      <c r="F5" s="5" t="s">
        <v>334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customFormat="false" ht="14.25" hidden="false" customHeight="false" outlineLevel="0" collapsed="false">
      <c r="A6" s="5" t="n">
        <v>2</v>
      </c>
      <c r="B6" s="5" t="s">
        <v>335</v>
      </c>
      <c r="C6" s="5" t="s">
        <v>336</v>
      </c>
      <c r="D6" s="5" t="s">
        <v>337</v>
      </c>
      <c r="E6" s="5" t="s">
        <v>338</v>
      </c>
      <c r="F6" s="5" t="s">
        <v>339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customFormat="false" ht="23.85" hidden="false" customHeight="false" outlineLevel="0" collapsed="false">
      <c r="A7" s="5" t="n">
        <v>3</v>
      </c>
      <c r="B7" s="5" t="s">
        <v>340</v>
      </c>
      <c r="C7" s="5" t="s">
        <v>341</v>
      </c>
      <c r="D7" s="5" t="s">
        <v>342</v>
      </c>
      <c r="E7" s="5" t="s">
        <v>343</v>
      </c>
      <c r="F7" s="5" t="s">
        <v>344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customFormat="false" ht="14.25" hidden="false" customHeight="false" outlineLevel="0" collapsed="false">
      <c r="A8" s="5" t="n">
        <v>4</v>
      </c>
      <c r="B8" s="5" t="s">
        <v>345</v>
      </c>
      <c r="C8" s="5" t="s">
        <v>346</v>
      </c>
      <c r="D8" s="5" t="s">
        <v>347</v>
      </c>
      <c r="E8" s="5" t="s">
        <v>348</v>
      </c>
      <c r="F8" s="5" t="s">
        <v>349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customFormat="false" ht="23.85" hidden="false" customHeight="false" outlineLevel="0" collapsed="false">
      <c r="A9" s="5" t="n">
        <v>5</v>
      </c>
      <c r="B9" s="5" t="s">
        <v>350</v>
      </c>
      <c r="C9" s="5" t="s">
        <v>351</v>
      </c>
      <c r="D9" s="5" t="s">
        <v>352</v>
      </c>
      <c r="E9" s="5" t="s">
        <v>353</v>
      </c>
      <c r="F9" s="5" t="s">
        <v>354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customFormat="false" ht="23.85" hidden="false" customHeight="false" outlineLevel="0" collapsed="false">
      <c r="A10" s="5" t="n">
        <v>6</v>
      </c>
      <c r="B10" s="5" t="s">
        <v>355</v>
      </c>
      <c r="C10" s="5" t="s">
        <v>356</v>
      </c>
      <c r="D10" s="5" t="s">
        <v>357</v>
      </c>
      <c r="E10" s="5" t="s">
        <v>358</v>
      </c>
      <c r="F10" s="5" t="s">
        <v>359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customFormat="false" ht="14.25" hidden="false" customHeight="false" outlineLevel="0" collapsed="false">
      <c r="A11" s="5" t="n">
        <v>7</v>
      </c>
      <c r="B11" s="5" t="s">
        <v>360</v>
      </c>
      <c r="C11" s="5" t="s">
        <v>361</v>
      </c>
      <c r="D11" s="5" t="s">
        <v>362</v>
      </c>
      <c r="E11" s="5" t="s">
        <v>363</v>
      </c>
      <c r="F11" s="5" t="s">
        <v>364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customFormat="false" ht="14.25" hidden="false" customHeight="fals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customFormat="false" ht="14.2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customFormat="false" ht="14.2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customFormat="false" ht="14.2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customFormat="false" ht="14.25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customFormat="false" ht="14.2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customFormat="false" ht="14.2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customFormat="false" ht="14.2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customFormat="false" ht="14.2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customFormat="false" ht="14.2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customFormat="false" ht="14.2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customFormat="false" ht="14.2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customFormat="false" ht="14.2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customFormat="false" ht="14.2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customFormat="false" ht="14.2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customFormat="false" ht="14.2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customFormat="false" ht="14.2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customFormat="false" ht="14.2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customFormat="false" ht="14.2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customFormat="false" ht="14.2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customFormat="false" ht="14.2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customFormat="false" ht="14.2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customFormat="false" ht="14.2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customFormat="false" ht="14.2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customFormat="false" ht="14.2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customFormat="false" ht="14.2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customFormat="false" ht="14.2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customFormat="false" ht="14.2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customFormat="false" ht="14.2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customFormat="false" ht="14.2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customFormat="false" ht="14.2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customFormat="false" ht="14.2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customFormat="false" ht="14.2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customFormat="false" ht="14.2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customFormat="false" ht="14.2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customFormat="false" ht="14.2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customFormat="false" ht="14.2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customFormat="false" ht="14.2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customFormat="false" ht="14.2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customFormat="false" ht="14.2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customFormat="false" ht="14.2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customFormat="false" ht="14.2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customFormat="false" ht="14.2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customFormat="false" ht="14.2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customFormat="false" ht="14.2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customFormat="false" ht="14.2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customFormat="false" ht="14.2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customFormat="false" ht="14.2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customFormat="false" ht="14.2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customFormat="false" ht="14.2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customFormat="false" ht="14.2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customFormat="false" ht="14.2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customFormat="false" ht="14.2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customFormat="false" ht="14.2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customFormat="false" ht="14.2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customFormat="false" ht="14.2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customFormat="false" ht="14.2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customFormat="false" ht="14.2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customFormat="false" ht="14.2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customFormat="false" ht="14.2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customFormat="false" ht="14.2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customFormat="false" ht="14.2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customFormat="false" ht="14.2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customFormat="false" ht="14.2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customFormat="false" ht="14.2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customFormat="false" ht="14.2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customFormat="false" ht="14.2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customFormat="false" ht="14.2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customFormat="false" ht="14.2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customFormat="false" ht="14.2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customFormat="false" ht="14.2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customFormat="false" ht="14.2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customFormat="false" ht="14.2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customFormat="false" ht="14.2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customFormat="false" ht="14.2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customFormat="false" ht="14.2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customFormat="false" ht="14.2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customFormat="false" ht="14.2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customFormat="false" ht="14.2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customFormat="false" ht="14.2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customFormat="false" ht="14.2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customFormat="false" ht="14.2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customFormat="false" ht="14.2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customFormat="false" ht="14.2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customFormat="false" ht="14.2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customFormat="false" ht="14.2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customFormat="false" ht="14.2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customFormat="false" ht="14.2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customFormat="false" ht="14.2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customFormat="false" ht="14.2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customFormat="false" ht="14.2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customFormat="false" ht="14.2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customFormat="false" ht="14.2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customFormat="false" ht="14.2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customFormat="false" ht="14.2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customFormat="false" ht="14.2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customFormat="false" ht="14.2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customFormat="false" ht="14.2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customFormat="false" ht="14.2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customFormat="false" ht="14.2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customFormat="false" ht="14.2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customFormat="false" ht="14.2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customFormat="false" ht="14.2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customFormat="false" ht="14.2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customFormat="false" ht="14.2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customFormat="false" ht="14.2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customFormat="false" ht="14.2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customFormat="false" ht="14.2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customFormat="false" ht="14.2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customFormat="false" ht="14.2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customFormat="false" ht="14.2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customFormat="false" ht="14.2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customFormat="false" ht="14.2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customFormat="false" ht="14.2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customFormat="false" ht="14.2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customFormat="false" ht="14.2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customFormat="false" ht="14.2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customFormat="false" ht="14.2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customFormat="false" ht="14.2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customFormat="false" ht="14.2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customFormat="false" ht="14.2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customFormat="false" ht="14.2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customFormat="false" ht="14.2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customFormat="false" ht="14.2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customFormat="false" ht="14.2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customFormat="false" ht="14.2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customFormat="false" ht="14.2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customFormat="false" ht="14.2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customFormat="false" ht="14.2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customFormat="false" ht="14.2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customFormat="false" ht="14.2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customFormat="false" ht="14.2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customFormat="false" ht="14.2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customFormat="false" ht="14.2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customFormat="false" ht="14.2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customFormat="false" ht="14.2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customFormat="false" ht="14.2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customFormat="false" ht="14.2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customFormat="false" ht="14.2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customFormat="false" ht="14.2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customFormat="false" ht="14.2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customFormat="false" ht="14.2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customFormat="false" ht="14.2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customFormat="false" ht="14.2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customFormat="false" ht="14.2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customFormat="false" ht="14.2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customFormat="false" ht="14.2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customFormat="false" ht="14.2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customFormat="false" ht="14.2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customFormat="false" ht="14.2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customFormat="false" ht="14.2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customFormat="false" ht="14.2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customFormat="false" ht="14.2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customFormat="false" ht="14.2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customFormat="false" ht="14.2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customFormat="false" ht="14.2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customFormat="false" ht="14.2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customFormat="false" ht="14.2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customFormat="false" ht="14.2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customFormat="false" ht="14.2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customFormat="false" ht="14.2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customFormat="false" ht="14.2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customFormat="false" ht="14.2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customFormat="false" ht="14.2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customFormat="false" ht="14.2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customFormat="false" ht="14.2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customFormat="false" ht="14.2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customFormat="false" ht="14.2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customFormat="false" ht="14.2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customFormat="false" ht="14.2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customFormat="false" ht="14.2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customFormat="false" ht="14.2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customFormat="false" ht="14.2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customFormat="false" ht="14.2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customFormat="false" ht="14.2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customFormat="false" ht="14.2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customFormat="false" ht="14.2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customFormat="false" ht="14.2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customFormat="false" ht="14.2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customFormat="false" ht="14.2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customFormat="false" ht="14.2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customFormat="false" ht="14.2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customFormat="false" ht="14.2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customFormat="false" ht="14.2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customFormat="false" ht="14.2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customFormat="false" ht="14.2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customFormat="false" ht="14.2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customFormat="false" ht="14.2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customFormat="false" ht="14.2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Estiben Licona</cp:lastModifiedBy>
  <dcterms:modified xsi:type="dcterms:W3CDTF">2026-06-23T21:54:34Z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